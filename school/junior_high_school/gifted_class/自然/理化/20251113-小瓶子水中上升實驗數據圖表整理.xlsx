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sh\Documents\GitHub\backup_data_from_desktop\school\junior_high_school\gifted_class\自然\理化\"/>
    </mc:Choice>
  </mc:AlternateContent>
  <xr:revisionPtr revIDLastSave="0" documentId="8_{F7D15A88-5038-45E6-8608-F10C4D511B17}" xr6:coauthVersionLast="47" xr6:coauthVersionMax="47" xr10:uidLastSave="{00000000-0000-0000-0000-000000000000}"/>
  <bookViews>
    <workbookView xWindow="0" yWindow="0" windowWidth="14400" windowHeight="15600" xr2:uid="{E52C0A97-3044-4C78-9544-D9096CFFFE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D34" i="1"/>
  <c r="D35" i="1"/>
  <c r="E35" i="1" s="1"/>
  <c r="F35" i="1" s="1"/>
  <c r="D36" i="1"/>
  <c r="E36" i="1" s="1"/>
  <c r="F36" i="1" s="1"/>
  <c r="D37" i="1"/>
  <c r="D38" i="1"/>
  <c r="E38" i="1" s="1"/>
  <c r="D39" i="1"/>
  <c r="D40" i="1"/>
  <c r="E41" i="1" s="1"/>
  <c r="D41" i="1"/>
  <c r="D42" i="1"/>
  <c r="D43" i="1"/>
  <c r="E43" i="1" s="1"/>
  <c r="F43" i="1" s="1"/>
  <c r="D44" i="1"/>
  <c r="E44" i="1" s="1"/>
  <c r="D30" i="1"/>
  <c r="D31" i="1"/>
  <c r="D32" i="1"/>
  <c r="E33" i="1" s="1"/>
  <c r="D29" i="1"/>
  <c r="E29" i="1" s="1"/>
  <c r="F29" i="1" s="1"/>
  <c r="E30" i="1"/>
  <c r="E31" i="1"/>
  <c r="E32" i="1"/>
  <c r="F32" i="1" s="1"/>
  <c r="E34" i="1"/>
  <c r="E39" i="1"/>
  <c r="E40" i="1"/>
  <c r="E42" i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F20" i="1"/>
  <c r="E20" i="1"/>
  <c r="D22" i="1"/>
  <c r="D23" i="1"/>
  <c r="D24" i="1"/>
  <c r="D25" i="1"/>
  <c r="D26" i="1"/>
  <c r="D27" i="1"/>
  <c r="D21" i="1"/>
  <c r="D20" i="1"/>
  <c r="F41" i="1" l="1"/>
  <c r="F42" i="1"/>
  <c r="F38" i="1"/>
  <c r="F39" i="1"/>
  <c r="E37" i="1"/>
  <c r="F37" i="1" s="1"/>
  <c r="F34" i="1"/>
  <c r="F33" i="1"/>
  <c r="F30" i="1"/>
  <c r="F31" i="1"/>
  <c r="F44" i="1"/>
  <c r="F40" i="1"/>
</calcChain>
</file>

<file path=xl/sharedStrings.xml><?xml version="1.0" encoding="utf-8"?>
<sst xmlns="http://schemas.openxmlformats.org/spreadsheetml/2006/main" count="9" uniqueCount="9">
  <si>
    <t>0ml</t>
    <phoneticPr fontId="1" type="noConversion"/>
  </si>
  <si>
    <t>10ml</t>
    <phoneticPr fontId="1" type="noConversion"/>
  </si>
  <si>
    <t>5ml</t>
    <phoneticPr fontId="1" type="noConversion"/>
  </si>
  <si>
    <t>15ml</t>
    <phoneticPr fontId="1" type="noConversion"/>
  </si>
  <si>
    <t>t(s)</t>
    <phoneticPr fontId="1" type="noConversion"/>
  </si>
  <si>
    <t>x(cm)</t>
    <phoneticPr fontId="1" type="noConversion"/>
  </si>
  <si>
    <t>v(cm/s)</t>
    <phoneticPr fontId="1" type="noConversion"/>
  </si>
  <si>
    <t>a(cm/s^2)</t>
    <phoneticPr fontId="1" type="noConversion"/>
  </si>
  <si>
    <t>Δx(cm)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</si>
</sst>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0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BD44-9BCA-4CB2-B704-C84E7F65BD8F}">
  <dimension ref="A1:F44"/>
  <sheetViews>
    <sheetView tabSelected="1" workbookViewId="0">
      <selection activeCell="B2" sqref="B2"/>
    </sheetView>
  </sheetViews>
  <sheetFormatPr defaultRowHeight="16.5" x14ac:dyDescent="0.25"/>
  <cols>
    <col min="1" max="1" width="9" style="1"/>
    <col min="2" max="2" width="9" style="2"/>
    <col min="3" max="4" width="9" style="3"/>
    <col min="5" max="6" width="9" style="2"/>
    <col min="7" max="16384" width="9" style="1"/>
  </cols>
  <sheetData>
    <row r="1" spans="1:6" x14ac:dyDescent="0.25">
      <c r="B1" s="1" t="s">
        <v>4</v>
      </c>
      <c r="C1" s="4" t="s">
        <v>5</v>
      </c>
      <c r="D1" s="4" t="s">
        <v>8</v>
      </c>
      <c r="E1" s="4" t="s">
        <v>6</v>
      </c>
      <c r="F1" s="4" t="s">
        <v>7</v>
      </c>
    </row>
    <row r="2" spans="1:6" x14ac:dyDescent="0.25">
      <c r="A2" s="1" t="s">
        <v>0</v>
      </c>
    </row>
    <row r="11" spans="1:6" x14ac:dyDescent="0.25">
      <c r="A11" s="1" t="s">
        <v>2</v>
      </c>
    </row>
    <row r="20" spans="1:6" x14ac:dyDescent="0.25">
      <c r="A20" s="1" t="s">
        <v>1</v>
      </c>
      <c r="B20" s="2">
        <v>0</v>
      </c>
      <c r="C20" s="3">
        <v>6</v>
      </c>
      <c r="D20" s="3">
        <f>C20-C$20</f>
        <v>0</v>
      </c>
      <c r="E20" s="2" t="str">
        <f>IFERROR((D20-D19)/(B20-B19), "-")</f>
        <v>-</v>
      </c>
      <c r="F20" s="2" t="str">
        <f>IFERROR((E20-E19)/(B20-B19), "-")</f>
        <v>-</v>
      </c>
    </row>
    <row r="21" spans="1:6" x14ac:dyDescent="0.25">
      <c r="B21" s="2">
        <v>0.19</v>
      </c>
      <c r="C21" s="3">
        <v>7</v>
      </c>
      <c r="D21" s="3">
        <f>C21-C$20</f>
        <v>1</v>
      </c>
      <c r="E21" s="2">
        <f t="shared" ref="E21:E27" si="0">IFERROR((D21-D20)/(B21-B20), "-")</f>
        <v>5.2631578947368425</v>
      </c>
      <c r="F21" s="2" t="str">
        <f t="shared" ref="F21:F27" si="1">IFERROR((E21-E20)/(B21-B20), "-")</f>
        <v>-</v>
      </c>
    </row>
    <row r="22" spans="1:6" x14ac:dyDescent="0.25">
      <c r="B22" s="2">
        <v>0.28999999999999998</v>
      </c>
      <c r="C22" s="3">
        <v>8.3000000000000007</v>
      </c>
      <c r="D22" s="3">
        <f t="shared" ref="D22:D44" si="2">C22-C$20</f>
        <v>2.3000000000000007</v>
      </c>
      <c r="E22" s="2">
        <f t="shared" si="0"/>
        <v>13.000000000000011</v>
      </c>
      <c r="F22" s="2">
        <f t="shared" si="1"/>
        <v>77.368421052631703</v>
      </c>
    </row>
    <row r="23" spans="1:6" x14ac:dyDescent="0.25">
      <c r="B23" s="2">
        <v>0.35</v>
      </c>
      <c r="C23" s="3">
        <v>9.6</v>
      </c>
      <c r="D23" s="3">
        <f t="shared" si="2"/>
        <v>3.5999999999999996</v>
      </c>
      <c r="E23" s="2">
        <f t="shared" si="0"/>
        <v>21.66666666666665</v>
      </c>
      <c r="F23" s="2">
        <f t="shared" si="1"/>
        <v>144.444444444444</v>
      </c>
    </row>
    <row r="24" spans="1:6" x14ac:dyDescent="0.25">
      <c r="B24" s="2">
        <v>0.49</v>
      </c>
      <c r="C24" s="3">
        <v>11.3</v>
      </c>
      <c r="D24" s="3">
        <f t="shared" si="2"/>
        <v>5.3000000000000007</v>
      </c>
      <c r="E24" s="2">
        <f t="shared" si="0"/>
        <v>12.142857142857149</v>
      </c>
      <c r="F24" s="2">
        <f t="shared" si="1"/>
        <v>-68.027210884353565</v>
      </c>
    </row>
    <row r="25" spans="1:6" x14ac:dyDescent="0.25">
      <c r="B25" s="2">
        <v>0.79</v>
      </c>
      <c r="C25" s="3">
        <v>13.5</v>
      </c>
      <c r="D25" s="3">
        <f t="shared" si="2"/>
        <v>7.5</v>
      </c>
      <c r="E25" s="2">
        <f t="shared" si="0"/>
        <v>7.3333333333333295</v>
      </c>
      <c r="F25" s="2">
        <f t="shared" si="1"/>
        <v>-16.031746031746064</v>
      </c>
    </row>
    <row r="26" spans="1:6" x14ac:dyDescent="0.25">
      <c r="B26" s="2">
        <v>0.99</v>
      </c>
      <c r="C26" s="3">
        <v>17.5</v>
      </c>
      <c r="D26" s="3">
        <f t="shared" si="2"/>
        <v>11.5</v>
      </c>
      <c r="E26" s="2">
        <f t="shared" si="0"/>
        <v>20.000000000000004</v>
      </c>
      <c r="F26" s="2">
        <f t="shared" si="1"/>
        <v>63.333333333333385</v>
      </c>
    </row>
    <row r="27" spans="1:6" x14ac:dyDescent="0.25">
      <c r="B27" s="2">
        <v>1.29</v>
      </c>
      <c r="C27" s="3">
        <v>23.5</v>
      </c>
      <c r="D27" s="3">
        <f t="shared" si="2"/>
        <v>17.5</v>
      </c>
      <c r="E27" s="2">
        <f t="shared" si="0"/>
        <v>19.999999999999996</v>
      </c>
      <c r="F27" s="2">
        <f t="shared" si="1"/>
        <v>-2.3684757858670004E-14</v>
      </c>
    </row>
    <row r="29" spans="1:6" x14ac:dyDescent="0.25">
      <c r="A29" s="1" t="s">
        <v>3</v>
      </c>
      <c r="B29" s="2">
        <v>0</v>
      </c>
      <c r="C29" s="3">
        <v>6.6</v>
      </c>
      <c r="D29" s="3">
        <f>C29-C$29</f>
        <v>0</v>
      </c>
      <c r="E29" s="2" t="str">
        <f t="shared" ref="E28:E44" si="3">IFERROR((D29-D28)/(B29-B28), "-")</f>
        <v>-</v>
      </c>
      <c r="F29" s="2" t="str">
        <f t="shared" ref="F28:F44" si="4">IFERROR((E29-E28)/(B29-B28), "-")</f>
        <v>-</v>
      </c>
    </row>
    <row r="30" spans="1:6" x14ac:dyDescent="0.25">
      <c r="B30" s="2">
        <v>1.02</v>
      </c>
      <c r="C30" s="3">
        <v>7</v>
      </c>
      <c r="D30" s="3">
        <f t="shared" ref="D30:D44" si="5">C30-C$29</f>
        <v>0.40000000000000036</v>
      </c>
      <c r="E30" s="2">
        <f t="shared" si="3"/>
        <v>0.39215686274509837</v>
      </c>
      <c r="F30" s="2" t="str">
        <f t="shared" si="4"/>
        <v>-</v>
      </c>
    </row>
    <row r="31" spans="1:6" x14ac:dyDescent="0.25">
      <c r="B31" s="2">
        <v>2.0299999999999998</v>
      </c>
      <c r="C31" s="3">
        <v>7.9</v>
      </c>
      <c r="D31" s="3">
        <f t="shared" si="5"/>
        <v>1.3000000000000007</v>
      </c>
      <c r="E31" s="2">
        <f t="shared" si="3"/>
        <v>0.89108910891089166</v>
      </c>
      <c r="F31" s="2">
        <f t="shared" si="4"/>
        <v>0.49399232293642908</v>
      </c>
    </row>
    <row r="32" spans="1:6" x14ac:dyDescent="0.25">
      <c r="B32" s="2">
        <v>3.02</v>
      </c>
      <c r="C32" s="3">
        <v>9</v>
      </c>
      <c r="D32" s="3">
        <f t="shared" si="5"/>
        <v>2.4000000000000004</v>
      </c>
      <c r="E32" s="2">
        <f t="shared" si="3"/>
        <v>1.1111111111111105</v>
      </c>
      <c r="F32" s="2">
        <f t="shared" si="4"/>
        <v>0.22224444666688767</v>
      </c>
    </row>
    <row r="33" spans="2:6" x14ac:dyDescent="0.25">
      <c r="B33" s="2">
        <v>4.03</v>
      </c>
      <c r="C33" s="3">
        <v>9.6999999999999993</v>
      </c>
      <c r="D33" s="3">
        <f t="shared" si="5"/>
        <v>3.0999999999999996</v>
      </c>
      <c r="E33" s="2">
        <f t="shared" si="3"/>
        <v>0.69306930693069224</v>
      </c>
      <c r="F33" s="2">
        <f t="shared" si="4"/>
        <v>-0.41390277641625561</v>
      </c>
    </row>
    <row r="34" spans="2:6" x14ac:dyDescent="0.25">
      <c r="B34" s="2">
        <v>5.04</v>
      </c>
      <c r="C34" s="3">
        <v>10.6</v>
      </c>
      <c r="D34" s="3">
        <f t="shared" si="5"/>
        <v>4</v>
      </c>
      <c r="E34" s="2">
        <f t="shared" si="3"/>
        <v>0.89108910891089166</v>
      </c>
      <c r="F34" s="2">
        <f t="shared" si="4"/>
        <v>0.19605920988138562</v>
      </c>
    </row>
    <row r="35" spans="2:6" x14ac:dyDescent="0.25">
      <c r="B35" s="2">
        <v>6.02</v>
      </c>
      <c r="C35" s="3">
        <v>11.5</v>
      </c>
      <c r="D35" s="3">
        <f t="shared" si="5"/>
        <v>4.9000000000000004</v>
      </c>
      <c r="E35" s="2">
        <f t="shared" si="3"/>
        <v>0.91836734693877631</v>
      </c>
      <c r="F35" s="2">
        <f t="shared" si="4"/>
        <v>2.7834936763147616E-2</v>
      </c>
    </row>
    <row r="36" spans="2:6" x14ac:dyDescent="0.25">
      <c r="B36" s="2">
        <v>7.02</v>
      </c>
      <c r="C36" s="3">
        <v>12.4</v>
      </c>
      <c r="D36" s="3">
        <f t="shared" si="5"/>
        <v>5.8000000000000007</v>
      </c>
      <c r="E36" s="2">
        <f t="shared" si="3"/>
        <v>0.90000000000000036</v>
      </c>
      <c r="F36" s="2">
        <f t="shared" si="4"/>
        <v>-1.8367346938775952E-2</v>
      </c>
    </row>
    <row r="37" spans="2:6" x14ac:dyDescent="0.25">
      <c r="B37" s="2">
        <v>8.02</v>
      </c>
      <c r="C37" s="3">
        <v>13.4</v>
      </c>
      <c r="D37" s="3">
        <f t="shared" si="5"/>
        <v>6.8000000000000007</v>
      </c>
      <c r="E37" s="2">
        <f t="shared" si="3"/>
        <v>1</v>
      </c>
      <c r="F37" s="2">
        <f t="shared" si="4"/>
        <v>9.9999999999999645E-2</v>
      </c>
    </row>
    <row r="38" spans="2:6" x14ac:dyDescent="0.25">
      <c r="B38" s="2">
        <v>9.01</v>
      </c>
      <c r="C38" s="3">
        <v>14.5</v>
      </c>
      <c r="D38" s="3">
        <f t="shared" si="5"/>
        <v>7.9</v>
      </c>
      <c r="E38" s="2">
        <f t="shared" si="3"/>
        <v>1.1111111111111105</v>
      </c>
      <c r="F38" s="2">
        <f t="shared" si="4"/>
        <v>0.11223344556677825</v>
      </c>
    </row>
    <row r="39" spans="2:6" x14ac:dyDescent="0.25">
      <c r="B39" s="2">
        <v>10.01</v>
      </c>
      <c r="C39" s="3">
        <v>15.3</v>
      </c>
      <c r="D39" s="3">
        <f t="shared" si="5"/>
        <v>8.7000000000000011</v>
      </c>
      <c r="E39" s="2">
        <f t="shared" si="3"/>
        <v>0.80000000000000071</v>
      </c>
      <c r="F39" s="2">
        <f t="shared" si="4"/>
        <v>-0.31111111111110978</v>
      </c>
    </row>
    <row r="40" spans="2:6" x14ac:dyDescent="0.25">
      <c r="B40" s="2">
        <v>11</v>
      </c>
      <c r="C40" s="3">
        <v>11</v>
      </c>
      <c r="D40" s="3">
        <f t="shared" si="5"/>
        <v>4.4000000000000004</v>
      </c>
      <c r="E40" s="2">
        <f t="shared" si="3"/>
        <v>-4.3434343434343434</v>
      </c>
      <c r="F40" s="2">
        <f t="shared" si="4"/>
        <v>-5.1953882256912554</v>
      </c>
    </row>
    <row r="41" spans="2:6" x14ac:dyDescent="0.25">
      <c r="B41" s="2">
        <v>12.05</v>
      </c>
      <c r="C41" s="3">
        <v>17</v>
      </c>
      <c r="D41" s="3">
        <f t="shared" si="5"/>
        <v>10.4</v>
      </c>
      <c r="E41" s="2">
        <f t="shared" si="3"/>
        <v>5.7142857142857109</v>
      </c>
      <c r="F41" s="2">
        <f t="shared" si="4"/>
        <v>9.5787810073524255</v>
      </c>
    </row>
    <row r="42" spans="2:6" x14ac:dyDescent="0.25">
      <c r="B42" s="2">
        <v>13.03</v>
      </c>
      <c r="C42" s="3">
        <v>18</v>
      </c>
      <c r="D42" s="3">
        <f t="shared" si="5"/>
        <v>11.4</v>
      </c>
      <c r="E42" s="2">
        <f t="shared" si="3"/>
        <v>1.0204081632653075</v>
      </c>
      <c r="F42" s="2">
        <f t="shared" si="4"/>
        <v>-4.7896709704289897</v>
      </c>
    </row>
    <row r="43" spans="2:6" x14ac:dyDescent="0.25">
      <c r="B43" s="2">
        <v>14.03</v>
      </c>
      <c r="C43" s="3">
        <v>19</v>
      </c>
      <c r="D43" s="3">
        <f t="shared" si="5"/>
        <v>12.4</v>
      </c>
      <c r="E43" s="2">
        <f t="shared" si="3"/>
        <v>1</v>
      </c>
      <c r="F43" s="2">
        <f t="shared" si="4"/>
        <v>-2.0408163265307477E-2</v>
      </c>
    </row>
    <row r="44" spans="2:6" x14ac:dyDescent="0.25">
      <c r="B44" s="2">
        <v>15</v>
      </c>
      <c r="C44" s="3">
        <v>20.2</v>
      </c>
      <c r="D44" s="3">
        <f t="shared" si="5"/>
        <v>13.6</v>
      </c>
      <c r="E44" s="2">
        <f t="shared" si="3"/>
        <v>1.2371134020618542</v>
      </c>
      <c r="F44" s="2">
        <f t="shared" si="4"/>
        <v>0.24444680624933401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鍾定栩</dc:creator>
  <cp:lastModifiedBy>鍾定栩</cp:lastModifiedBy>
  <dcterms:created xsi:type="dcterms:W3CDTF">2025-11-13T21:41:49Z</dcterms:created>
  <dcterms:modified xsi:type="dcterms:W3CDTF">2025-11-13T21:55:46Z</dcterms:modified>
</cp:coreProperties>
</file>