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B675D5-0B1C-437D-9F67-8466EEC12410}" xr6:coauthVersionLast="47" xr6:coauthVersionMax="47" xr10:uidLastSave="{00000000-0000-0000-0000-000000000000}"/>
  <bookViews>
    <workbookView xWindow="-120" yWindow="-120" windowWidth="19440" windowHeight="14880" tabRatio="386" xr2:uid="{E52C0A97-3044-4C78-9544-D9096CFFFEC9}"/>
  </bookViews>
  <sheets>
    <sheet name="20251113-小瓶子水中上升實驗數據圖表整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17" i="1"/>
  <c r="E17" i="1" s="1"/>
  <c r="D18" i="1"/>
  <c r="E19" i="1" s="1"/>
  <c r="E18" i="1"/>
  <c r="D19" i="1"/>
  <c r="D20" i="1"/>
  <c r="E20" i="1" s="1"/>
  <c r="D21" i="1"/>
  <c r="D22" i="1"/>
  <c r="D3" i="1"/>
  <c r="E3" i="1"/>
  <c r="F3" i="1"/>
  <c r="D4" i="1"/>
  <c r="E4" i="1" s="1"/>
  <c r="F4" i="1" s="1"/>
  <c r="D5" i="1"/>
  <c r="E5" i="1"/>
  <c r="D6" i="1"/>
  <c r="E6" i="1"/>
  <c r="F6" i="1"/>
  <c r="D7" i="1"/>
  <c r="E7" i="1"/>
  <c r="F7" i="1"/>
  <c r="D8" i="1"/>
  <c r="E8" i="1" s="1"/>
  <c r="F8" i="1" s="1"/>
  <c r="D2" i="1"/>
  <c r="E2" i="1" s="1"/>
  <c r="F2" i="1" s="1"/>
  <c r="D28" i="1"/>
  <c r="E28" i="1" s="1"/>
  <c r="F28" i="1" s="1"/>
  <c r="D41" i="1"/>
  <c r="E41" i="1"/>
  <c r="F41" i="1"/>
  <c r="D15" i="1"/>
  <c r="E16" i="1" s="1"/>
  <c r="D45" i="1"/>
  <c r="D46" i="1"/>
  <c r="D47" i="1"/>
  <c r="D48" i="1"/>
  <c r="E48" i="1" s="1"/>
  <c r="D49" i="1"/>
  <c r="D50" i="1"/>
  <c r="D51" i="1"/>
  <c r="E51" i="1" s="1"/>
  <c r="D52" i="1"/>
  <c r="E52" i="1" s="1"/>
  <c r="D53" i="1"/>
  <c r="D54" i="1"/>
  <c r="D55" i="1"/>
  <c r="E55" i="1" s="1"/>
  <c r="D56" i="1"/>
  <c r="E56" i="1" s="1"/>
  <c r="D42" i="1"/>
  <c r="D43" i="1"/>
  <c r="D44" i="1"/>
  <c r="E44" i="1" s="1"/>
  <c r="D30" i="1"/>
  <c r="D31" i="1"/>
  <c r="D32" i="1"/>
  <c r="D33" i="1"/>
  <c r="D34" i="1"/>
  <c r="D35" i="1"/>
  <c r="D29" i="1"/>
  <c r="E29" i="1"/>
  <c r="E21" i="1" l="1"/>
  <c r="E22" i="1"/>
  <c r="F22" i="1" s="1"/>
  <c r="F17" i="1"/>
  <c r="E15" i="1"/>
  <c r="F16" i="1" s="1"/>
  <c r="F21" i="1"/>
  <c r="F18" i="1"/>
  <c r="F20" i="1"/>
  <c r="F19" i="1"/>
  <c r="F5" i="1"/>
  <c r="E47" i="1"/>
  <c r="E35" i="1"/>
  <c r="E31" i="1"/>
  <c r="E43" i="1"/>
  <c r="F44" i="1" s="1"/>
  <c r="E54" i="1"/>
  <c r="F55" i="1" s="1"/>
  <c r="E46" i="1"/>
  <c r="E33" i="1"/>
  <c r="E32" i="1"/>
  <c r="E34" i="1"/>
  <c r="E30" i="1"/>
  <c r="E42" i="1"/>
  <c r="E53" i="1"/>
  <c r="F53" i="1" s="1"/>
  <c r="F48" i="1"/>
  <c r="E45" i="1"/>
  <c r="F45" i="1" s="1"/>
  <c r="E50" i="1"/>
  <c r="E49" i="1"/>
  <c r="F49" i="1" s="1"/>
  <c r="F56" i="1"/>
  <c r="F52" i="1"/>
  <c r="F15" i="1" l="1"/>
  <c r="F47" i="1"/>
  <c r="F35" i="1"/>
  <c r="F32" i="1"/>
  <c r="F31" i="1"/>
  <c r="F43" i="1"/>
  <c r="F54" i="1"/>
  <c r="F42" i="1"/>
  <c r="F30" i="1"/>
  <c r="F34" i="1"/>
  <c r="F33" i="1"/>
  <c r="F50" i="1"/>
  <c r="F51" i="1"/>
  <c r="F46" i="1"/>
  <c r="F29" i="1"/>
</calcChain>
</file>

<file path=xl/sharedStrings.xml><?xml version="1.0" encoding="utf-8"?>
<sst xmlns="http://schemas.openxmlformats.org/spreadsheetml/2006/main" count="13" uniqueCount="13">
  <si>
    <t>0ml</t>
    <phoneticPr fontId="1" type="noConversion"/>
  </si>
  <si>
    <t>10ml</t>
    <phoneticPr fontId="1" type="noConversion"/>
  </si>
  <si>
    <t>5ml</t>
    <phoneticPr fontId="1" type="noConversion"/>
  </si>
  <si>
    <t>15ml</t>
    <phoneticPr fontId="1" type="noConversion"/>
  </si>
  <si>
    <t>t(s)</t>
    <phoneticPr fontId="1" type="noConversion"/>
  </si>
  <si>
    <t>x(cm)</t>
    <phoneticPr fontId="1" type="noConversion"/>
  </si>
  <si>
    <t>v(cm/s)</t>
    <phoneticPr fontId="1" type="noConversion"/>
  </si>
  <si>
    <t>a(cm/s^2)</t>
    <phoneticPr fontId="1" type="noConversion"/>
  </si>
  <si>
    <t>Δx(cm)</t>
    <phoneticPr fontId="1" type="noConversion"/>
  </si>
  <si>
    <t>x-t graph</t>
    <phoneticPr fontId="1" type="noConversion"/>
  </si>
  <si>
    <t>v-t graph</t>
    <phoneticPr fontId="1" type="noConversion"/>
  </si>
  <si>
    <t>a-t graph</t>
    <phoneticPr fontId="1" type="noConversion"/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</si>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</sst>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x-t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9.2576990376202928E-2"/>
                  <c:y val="4.50298920968212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'20251113-小瓶子水中上升實驗數據圖表整理'!$B$28:$B$35</c:f>
              <c:numCache>
                <c:formatCode>0.00_ </c:formatCode>
                <c:ptCount val="8"/>
                <c:pt idx="0">
                  <c:v>0</c:v>
                </c:pt>
                <c:pt idx="1">
                  <c:v>0.19</c:v>
                </c:pt>
                <c:pt idx="2">
                  <c:v>0.28999999999999998</c:v>
                </c:pt>
                <c:pt idx="3">
                  <c:v>0.35</c:v>
                </c:pt>
                <c:pt idx="4">
                  <c:v>0.49</c:v>
                </c:pt>
                <c:pt idx="5">
                  <c:v>0.79</c:v>
                </c:pt>
                <c:pt idx="6">
                  <c:v>0.99</c:v>
                </c:pt>
                <c:pt idx="7">
                  <c:v>1.29</c:v>
                </c:pt>
              </c:numCache>
            </c:numRef>
          </c:xVal>
          <c:yVal>
            <c:numRef>
              <c:f>'20251113-小瓶子水中上升實驗數據圖表整理'!$D$28:$D$35</c:f>
              <c:numCache>
                <c:formatCode>0.0_ 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2.3000000000000007</c:v>
                </c:pt>
                <c:pt idx="3">
                  <c:v>3.5999999999999996</c:v>
                </c:pt>
                <c:pt idx="4">
                  <c:v>5.3000000000000007</c:v>
                </c:pt>
                <c:pt idx="5">
                  <c:v>7.5</c:v>
                </c:pt>
                <c:pt idx="6">
                  <c:v>11.5</c:v>
                </c:pt>
                <c:pt idx="7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3C-4C99-A28B-7EDB4BFD9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78864"/>
        <c:axId val="2117575504"/>
      </c:scatterChart>
      <c:valAx>
        <c:axId val="211757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5504"/>
        <c:crosses val="autoZero"/>
        <c:crossBetween val="midCat"/>
      </c:valAx>
      <c:valAx>
        <c:axId val="21175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baseline="0">
                    <a:effectLst/>
                  </a:rPr>
                  <a:t>Δ</a:t>
                </a:r>
                <a:r>
                  <a:rPr lang="en-US" altLang="zh-TW" sz="1000" b="0" i="0" u="none" strike="noStrike" baseline="0">
                    <a:effectLst/>
                  </a:rPr>
                  <a:t>x(cm)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v-t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534120734908142E-2"/>
                  <c:y val="0.123040974044911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'20251113-小瓶子水中上升實驗數據圖表整理'!$B$29:$B$35</c:f>
              <c:numCache>
                <c:formatCode>0.00_ </c:formatCode>
                <c:ptCount val="7"/>
                <c:pt idx="0">
                  <c:v>0.19</c:v>
                </c:pt>
                <c:pt idx="1">
                  <c:v>0.28999999999999998</c:v>
                </c:pt>
                <c:pt idx="2">
                  <c:v>0.35</c:v>
                </c:pt>
                <c:pt idx="3">
                  <c:v>0.49</c:v>
                </c:pt>
                <c:pt idx="4">
                  <c:v>0.79</c:v>
                </c:pt>
                <c:pt idx="5">
                  <c:v>0.99</c:v>
                </c:pt>
                <c:pt idx="6">
                  <c:v>1.29</c:v>
                </c:pt>
              </c:numCache>
            </c:numRef>
          </c:xVal>
          <c:yVal>
            <c:numRef>
              <c:f>'20251113-小瓶子水中上升實驗數據圖表整理'!$E$29:$E$35</c:f>
              <c:numCache>
                <c:formatCode>0.00_ </c:formatCode>
                <c:ptCount val="7"/>
                <c:pt idx="0">
                  <c:v>5.2631578947368425</c:v>
                </c:pt>
                <c:pt idx="1">
                  <c:v>13.000000000000011</c:v>
                </c:pt>
                <c:pt idx="2">
                  <c:v>21.66666666666665</c:v>
                </c:pt>
                <c:pt idx="3">
                  <c:v>12.142857142857149</c:v>
                </c:pt>
                <c:pt idx="4">
                  <c:v>7.3333333333333295</c:v>
                </c:pt>
                <c:pt idx="5">
                  <c:v>20.000000000000004</c:v>
                </c:pt>
                <c:pt idx="6">
                  <c:v>19.999999999999996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D-4258-A3B8-9E390C86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71184"/>
        <c:axId val="2117578384"/>
      </c:scatterChart>
      <c:valAx>
        <c:axId val="21175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8384"/>
        <c:crosses val="autoZero"/>
        <c:crossBetween val="midCat"/>
      </c:valAx>
      <c:valAx>
        <c:axId val="2117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v(cm/s)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a-t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backward val="0.2"/>
            <c:dispRSqr val="1"/>
            <c:dispEq val="1"/>
            <c:trendlineLbl>
              <c:layout>
                <c:manualLayout>
                  <c:x val="-0.18072659667541557"/>
                  <c:y val="-0.16730497229512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'20251113-小瓶子水中上升實驗數據圖表整理'!$B$30:$B$35</c:f>
              <c:numCache>
                <c:formatCode>0.00_ </c:formatCode>
                <c:ptCount val="6"/>
                <c:pt idx="0">
                  <c:v>0.28999999999999998</c:v>
                </c:pt>
                <c:pt idx="1">
                  <c:v>0.35</c:v>
                </c:pt>
                <c:pt idx="2">
                  <c:v>0.49</c:v>
                </c:pt>
                <c:pt idx="3">
                  <c:v>0.79</c:v>
                </c:pt>
                <c:pt idx="4">
                  <c:v>0.99</c:v>
                </c:pt>
                <c:pt idx="5">
                  <c:v>1.29</c:v>
                </c:pt>
              </c:numCache>
            </c:numRef>
          </c:xVal>
          <c:yVal>
            <c:numRef>
              <c:f>'20251113-小瓶子水中上升實驗數據圖表整理'!$F$30:$F$35</c:f>
              <c:numCache>
                <c:formatCode>0.00_ </c:formatCode>
                <c:ptCount val="6"/>
                <c:pt idx="0">
                  <c:v>77.368421052631703</c:v>
                </c:pt>
                <c:pt idx="1">
                  <c:v>144.444444444444</c:v>
                </c:pt>
                <c:pt idx="2">
                  <c:v>-68.027210884353565</c:v>
                </c:pt>
                <c:pt idx="3">
                  <c:v>-16.031746031746064</c:v>
                </c:pt>
                <c:pt idx="4">
                  <c:v>63.333333333333385</c:v>
                </c:pt>
                <c:pt idx="5">
                  <c:v>-2.3684757858670004E-14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2-474A-A1B2-229EC7B58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13424"/>
        <c:axId val="1847813904"/>
      </c:scatterChart>
      <c:valAx>
        <c:axId val="18478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904"/>
        <c:crosses val="autoZero"/>
        <c:crossBetween val="midCat"/>
      </c:valAx>
      <c:valAx>
        <c:axId val="1847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a(cm/s^2)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x-t</a:t>
            </a:r>
            <a:r>
              <a:rPr lang="zh-TW" altLang="en-US"/>
              <a:t> </a:t>
            </a:r>
            <a:r>
              <a:rPr lang="en-US" altLang="zh-TW"/>
              <a:t>graph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9.8630358705161861E-2"/>
                  <c:y val="3.663969087197433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'20251113-小瓶子水中上升實驗數據圖表整理'!$B$41:$B$56</c:f>
              <c:numCache>
                <c:formatCode>0.00_ </c:formatCode>
                <c:ptCount val="16"/>
                <c:pt idx="0">
                  <c:v>0</c:v>
                </c:pt>
                <c:pt idx="1">
                  <c:v>1.02</c:v>
                </c:pt>
                <c:pt idx="2">
                  <c:v>2.0299999999999998</c:v>
                </c:pt>
                <c:pt idx="3">
                  <c:v>3.02</c:v>
                </c:pt>
                <c:pt idx="4">
                  <c:v>4.03</c:v>
                </c:pt>
                <c:pt idx="5">
                  <c:v>5.04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9.01</c:v>
                </c:pt>
                <c:pt idx="10">
                  <c:v>10.01</c:v>
                </c:pt>
                <c:pt idx="11">
                  <c:v>11</c:v>
                </c:pt>
                <c:pt idx="12">
                  <c:v>12.05</c:v>
                </c:pt>
                <c:pt idx="13">
                  <c:v>13.03</c:v>
                </c:pt>
                <c:pt idx="14">
                  <c:v>14.03</c:v>
                </c:pt>
                <c:pt idx="15">
                  <c:v>15</c:v>
                </c:pt>
              </c:numCache>
            </c:numRef>
          </c:xVal>
          <c:yVal>
            <c:numRef>
              <c:f>'20251113-小瓶子水中上升實驗數據圖表整理'!$D$41:$D$56</c:f>
              <c:numCache>
                <c:formatCode>0.0_ </c:formatCode>
                <c:ptCount val="16"/>
                <c:pt idx="0">
                  <c:v>0</c:v>
                </c:pt>
                <c:pt idx="1">
                  <c:v>0.40000000000000036</c:v>
                </c:pt>
                <c:pt idx="2">
                  <c:v>1.3000000000000007</c:v>
                </c:pt>
                <c:pt idx="3">
                  <c:v>2.4000000000000004</c:v>
                </c:pt>
                <c:pt idx="4">
                  <c:v>3.0999999999999996</c:v>
                </c:pt>
                <c:pt idx="5">
                  <c:v>4</c:v>
                </c:pt>
                <c:pt idx="6">
                  <c:v>4.9000000000000004</c:v>
                </c:pt>
                <c:pt idx="7">
                  <c:v>5.8000000000000007</c:v>
                </c:pt>
                <c:pt idx="8">
                  <c:v>6.8000000000000007</c:v>
                </c:pt>
                <c:pt idx="9">
                  <c:v>7.9</c:v>
                </c:pt>
                <c:pt idx="10">
                  <c:v>8.7000000000000011</c:v>
                </c:pt>
                <c:pt idx="11">
                  <c:v>9.4</c:v>
                </c:pt>
                <c:pt idx="12">
                  <c:v>10.4</c:v>
                </c:pt>
                <c:pt idx="13">
                  <c:v>11.4</c:v>
                </c:pt>
                <c:pt idx="14">
                  <c:v>12.4</c:v>
                </c:pt>
                <c:pt idx="15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C-42E4-B6C9-CED23F53F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4224"/>
        <c:axId val="1858280560"/>
      </c:scatterChart>
      <c:valAx>
        <c:axId val="522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8280560"/>
        <c:crosses val="autoZero"/>
        <c:crossBetween val="midCat"/>
      </c:valAx>
      <c:valAx>
        <c:axId val="18582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Δ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x(cm)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4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v-t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061023622047244E-2"/>
                  <c:y val="-9.30118110236220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'20251113-小瓶子水中上升實驗數據圖表整理'!$B$42:$B$56</c:f>
              <c:numCache>
                <c:formatCode>0.00_ </c:formatCode>
                <c:ptCount val="15"/>
                <c:pt idx="0">
                  <c:v>1.02</c:v>
                </c:pt>
                <c:pt idx="1">
                  <c:v>2.0299999999999998</c:v>
                </c:pt>
                <c:pt idx="2">
                  <c:v>3.02</c:v>
                </c:pt>
                <c:pt idx="3">
                  <c:v>4.03</c:v>
                </c:pt>
                <c:pt idx="4">
                  <c:v>5.04</c:v>
                </c:pt>
                <c:pt idx="5">
                  <c:v>6.02</c:v>
                </c:pt>
                <c:pt idx="6">
                  <c:v>7.02</c:v>
                </c:pt>
                <c:pt idx="7">
                  <c:v>8.02</c:v>
                </c:pt>
                <c:pt idx="8">
                  <c:v>9.01</c:v>
                </c:pt>
                <c:pt idx="9">
                  <c:v>10.01</c:v>
                </c:pt>
                <c:pt idx="10">
                  <c:v>11</c:v>
                </c:pt>
                <c:pt idx="11">
                  <c:v>12.05</c:v>
                </c:pt>
                <c:pt idx="12">
                  <c:v>13.03</c:v>
                </c:pt>
                <c:pt idx="13">
                  <c:v>14.03</c:v>
                </c:pt>
                <c:pt idx="14">
                  <c:v>15</c:v>
                </c:pt>
              </c:numCache>
            </c:numRef>
          </c:xVal>
          <c:yVal>
            <c:numRef>
              <c:f>'20251113-小瓶子水中上升實驗數據圖表整理'!$E$42:$E$56</c:f>
              <c:numCache>
                <c:formatCode>0.00_ </c:formatCode>
                <c:ptCount val="15"/>
                <c:pt idx="0">
                  <c:v>0.39215686274509837</c:v>
                </c:pt>
                <c:pt idx="1">
                  <c:v>0.89108910891089166</c:v>
                </c:pt>
                <c:pt idx="2">
                  <c:v>1.1111111111111105</c:v>
                </c:pt>
                <c:pt idx="3">
                  <c:v>0.69306930693069224</c:v>
                </c:pt>
                <c:pt idx="4">
                  <c:v>0.89108910891089166</c:v>
                </c:pt>
                <c:pt idx="5">
                  <c:v>0.91836734693877631</c:v>
                </c:pt>
                <c:pt idx="6">
                  <c:v>0.90000000000000036</c:v>
                </c:pt>
                <c:pt idx="7">
                  <c:v>1</c:v>
                </c:pt>
                <c:pt idx="8">
                  <c:v>1.1111111111111105</c:v>
                </c:pt>
                <c:pt idx="9">
                  <c:v>0.80000000000000071</c:v>
                </c:pt>
                <c:pt idx="10">
                  <c:v>0.70707070707070618</c:v>
                </c:pt>
                <c:pt idx="11">
                  <c:v>0.95238095238095177</c:v>
                </c:pt>
                <c:pt idx="12">
                  <c:v>1.0204081632653075</c:v>
                </c:pt>
                <c:pt idx="13">
                  <c:v>1</c:v>
                </c:pt>
                <c:pt idx="14">
                  <c:v>1.2371134020618542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3-43A5-9C63-CC785B9DF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18928"/>
        <c:axId val="234534768"/>
      </c:scatterChart>
      <c:valAx>
        <c:axId val="2345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4534768"/>
        <c:crosses val="autoZero"/>
        <c:crossBetween val="midCat"/>
      </c:valAx>
      <c:valAx>
        <c:axId val="2345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v(cm/s)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451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x-t</a:t>
            </a:r>
            <a:r>
              <a:rPr lang="zh-TW" altLang="en-US"/>
              <a:t> </a:t>
            </a:r>
            <a:r>
              <a:rPr lang="en-US" altLang="zh-TW"/>
              <a:t>graph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0.21000000000000002"/>
            <c:dispRSqr val="1"/>
            <c:dispEq val="1"/>
            <c:trendlineLbl>
              <c:layout>
                <c:manualLayout>
                  <c:x val="0.19722222222222222"/>
                  <c:y val="0.231064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'20251113-小瓶子水中上升實驗數據圖表整理'!$B$2:$B$8</c:f>
              <c:numCache>
                <c:formatCode>0.00_ </c:formatCode>
                <c:ptCount val="7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</c:numCache>
            </c:numRef>
          </c:xVal>
          <c:yVal>
            <c:numRef>
              <c:f>'20251113-小瓶子水中上升實驗數據圖表整理'!$D$2:$D$8</c:f>
              <c:numCache>
                <c:formatCode>0.0_ </c:formatCode>
                <c:ptCount val="7"/>
                <c:pt idx="0">
                  <c:v>0</c:v>
                </c:pt>
                <c:pt idx="1">
                  <c:v>9.9999999999999645E-2</c:v>
                </c:pt>
                <c:pt idx="2">
                  <c:v>0.20000000000000018</c:v>
                </c:pt>
                <c:pt idx="3">
                  <c:v>0.75</c:v>
                </c:pt>
                <c:pt idx="4">
                  <c:v>3.3</c:v>
                </c:pt>
                <c:pt idx="5">
                  <c:v>4.2499999999999991</c:v>
                </c:pt>
                <c:pt idx="6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4D-4ACA-896A-1FF5C4073DEE}"/>
            </c:ext>
          </c:extLst>
        </c:ser>
        <c:ser>
          <c:idx val="3"/>
          <c:order val="1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0.1"/>
            <c:dispRSqr val="1"/>
            <c:dispEq val="1"/>
            <c:trendlineLbl>
              <c:layout>
                <c:manualLayout>
                  <c:x val="0.12222222222222222"/>
                  <c:y val="-8.837962962962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'20251113-小瓶子水中上升實驗數據圖表整理'!$B$15:$B$22</c:f>
              <c:numCache>
                <c:formatCode>0.00_ </c:formatCode>
                <c:ptCount val="8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  <c:pt idx="7">
                  <c:v>0.56000000000000005</c:v>
                </c:pt>
              </c:numCache>
            </c:numRef>
          </c:xVal>
          <c:yVal>
            <c:numRef>
              <c:f>'20251113-小瓶子水中上升實驗數據圖表整理'!$D$15:$D$22</c:f>
              <c:numCache>
                <c:formatCode>0.0_ 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4.5</c:v>
                </c:pt>
                <c:pt idx="4">
                  <c:v>5.5</c:v>
                </c:pt>
                <c:pt idx="5">
                  <c:v>8.8000000000000007</c:v>
                </c:pt>
                <c:pt idx="6">
                  <c:v>10.5</c:v>
                </c:pt>
                <c:pt idx="7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4D-4ACA-896A-1FF5C4073DEE}"/>
            </c:ext>
          </c:extLst>
        </c:ser>
        <c:ser>
          <c:idx val="1"/>
          <c:order val="2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2500000000000001"/>
                  <c:y val="4.12500000000000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'20251113-小瓶子水中上升實驗數據圖表整理'!$B$28:$B$35</c:f>
              <c:numCache>
                <c:formatCode>0.00_ </c:formatCode>
                <c:ptCount val="8"/>
                <c:pt idx="0">
                  <c:v>0</c:v>
                </c:pt>
                <c:pt idx="1">
                  <c:v>0.19</c:v>
                </c:pt>
                <c:pt idx="2">
                  <c:v>0.28999999999999998</c:v>
                </c:pt>
                <c:pt idx="3">
                  <c:v>0.35</c:v>
                </c:pt>
                <c:pt idx="4">
                  <c:v>0.49</c:v>
                </c:pt>
                <c:pt idx="5">
                  <c:v>0.79</c:v>
                </c:pt>
                <c:pt idx="6">
                  <c:v>0.99</c:v>
                </c:pt>
                <c:pt idx="7">
                  <c:v>1.29</c:v>
                </c:pt>
              </c:numCache>
            </c:numRef>
          </c:xVal>
          <c:yVal>
            <c:numRef>
              <c:f>'20251113-小瓶子水中上升實驗數據圖表整理'!$D$28:$D$35</c:f>
              <c:numCache>
                <c:formatCode>0.0_ 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2.3000000000000007</c:v>
                </c:pt>
                <c:pt idx="3">
                  <c:v>3.5999999999999996</c:v>
                </c:pt>
                <c:pt idx="4">
                  <c:v>5.3000000000000007</c:v>
                </c:pt>
                <c:pt idx="5">
                  <c:v>7.5</c:v>
                </c:pt>
                <c:pt idx="6">
                  <c:v>11.5</c:v>
                </c:pt>
                <c:pt idx="7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E5-459B-BE8A-BF762C545D34}"/>
            </c:ext>
          </c:extLst>
        </c:ser>
        <c:ser>
          <c:idx val="0"/>
          <c:order val="3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9702974628171479E-2"/>
                  <c:y val="0.1916560950714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'20251113-小瓶子水中上升實驗數據圖表整理'!$B$41:$B$56</c:f>
              <c:numCache>
                <c:formatCode>0.00_ </c:formatCode>
                <c:ptCount val="16"/>
                <c:pt idx="0">
                  <c:v>0</c:v>
                </c:pt>
                <c:pt idx="1">
                  <c:v>1.02</c:v>
                </c:pt>
                <c:pt idx="2">
                  <c:v>2.0299999999999998</c:v>
                </c:pt>
                <c:pt idx="3">
                  <c:v>3.02</c:v>
                </c:pt>
                <c:pt idx="4">
                  <c:v>4.03</c:v>
                </c:pt>
                <c:pt idx="5">
                  <c:v>5.04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9.01</c:v>
                </c:pt>
                <c:pt idx="10">
                  <c:v>10.01</c:v>
                </c:pt>
                <c:pt idx="11">
                  <c:v>11</c:v>
                </c:pt>
                <c:pt idx="12">
                  <c:v>12.05</c:v>
                </c:pt>
                <c:pt idx="13">
                  <c:v>13.03</c:v>
                </c:pt>
                <c:pt idx="14">
                  <c:v>14.03</c:v>
                </c:pt>
                <c:pt idx="15">
                  <c:v>15</c:v>
                </c:pt>
              </c:numCache>
            </c:numRef>
          </c:xVal>
          <c:yVal>
            <c:numRef>
              <c:f>'20251113-小瓶子水中上升實驗數據圖表整理'!$D$41:$D$56</c:f>
              <c:numCache>
                <c:formatCode>0.0_ </c:formatCode>
                <c:ptCount val="16"/>
                <c:pt idx="0">
                  <c:v>0</c:v>
                </c:pt>
                <c:pt idx="1">
                  <c:v>0.40000000000000036</c:v>
                </c:pt>
                <c:pt idx="2">
                  <c:v>1.3000000000000007</c:v>
                </c:pt>
                <c:pt idx="3">
                  <c:v>2.4000000000000004</c:v>
                </c:pt>
                <c:pt idx="4">
                  <c:v>3.0999999999999996</c:v>
                </c:pt>
                <c:pt idx="5">
                  <c:v>4</c:v>
                </c:pt>
                <c:pt idx="6">
                  <c:v>4.9000000000000004</c:v>
                </c:pt>
                <c:pt idx="7">
                  <c:v>5.8000000000000007</c:v>
                </c:pt>
                <c:pt idx="8">
                  <c:v>6.8000000000000007</c:v>
                </c:pt>
                <c:pt idx="9">
                  <c:v>7.9</c:v>
                </c:pt>
                <c:pt idx="10">
                  <c:v>8.7000000000000011</c:v>
                </c:pt>
                <c:pt idx="11">
                  <c:v>9.4</c:v>
                </c:pt>
                <c:pt idx="12">
                  <c:v>10.4</c:v>
                </c:pt>
                <c:pt idx="13">
                  <c:v>11.4</c:v>
                </c:pt>
                <c:pt idx="14">
                  <c:v>12.4</c:v>
                </c:pt>
                <c:pt idx="15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E5-459B-BE8A-BF762C545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4224"/>
        <c:axId val="1858280560"/>
      </c:scatterChart>
      <c:valAx>
        <c:axId val="522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8280560"/>
        <c:crosses val="autoZero"/>
        <c:crossBetween val="midCat"/>
      </c:valAx>
      <c:valAx>
        <c:axId val="18582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Δ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x(cm)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4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v-t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5000000000000002"/>
            <c:dispRSqr val="1"/>
            <c:dispEq val="1"/>
            <c:trendlineLbl>
              <c:layout>
                <c:manualLayout>
                  <c:x val="0.17222222222222222"/>
                  <c:y val="-0.10689814814814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'20251113-小瓶子水中上升實驗數據圖表整理'!$B$3:$B$8</c:f>
              <c:numCache>
                <c:formatCode>0.00_ 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</c:numCache>
            </c:numRef>
          </c:xVal>
          <c:yVal>
            <c:numRef>
              <c:f>'20251113-小瓶子水中上升實驗數據圖表整理'!$E$3:$E$8</c:f>
              <c:numCache>
                <c:formatCode>0.00_ </c:formatCode>
                <c:ptCount val="6"/>
                <c:pt idx="0">
                  <c:v>1.2499999999999956</c:v>
                </c:pt>
                <c:pt idx="1">
                  <c:v>1.2500000000000067</c:v>
                </c:pt>
                <c:pt idx="2">
                  <c:v>6.8749999999999991</c:v>
                </c:pt>
                <c:pt idx="3">
                  <c:v>31.874999999999993</c:v>
                </c:pt>
                <c:pt idx="4">
                  <c:v>11.874999999999989</c:v>
                </c:pt>
                <c:pt idx="5">
                  <c:v>50.625000000000043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A0-40B1-A0DB-4BE6C9CC2B3A}"/>
            </c:ext>
          </c:extLst>
        </c:ser>
        <c:ser>
          <c:idx val="3"/>
          <c:order val="1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45"/>
            <c:dispRSqr val="1"/>
            <c:dispEq val="1"/>
            <c:trendlineLbl>
              <c:layout>
                <c:manualLayout>
                  <c:x val="0.22413796108754083"/>
                  <c:y val="4.15525114155251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'20251113-小瓶子水中上升實驗數據圖表整理'!$B$16:$B$22</c:f>
              <c:numCache>
                <c:formatCode>0.00_ </c:formatCode>
                <c:ptCount val="7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  <c:pt idx="6">
                  <c:v>0.56000000000000005</c:v>
                </c:pt>
              </c:numCache>
            </c:numRef>
          </c:xVal>
          <c:yVal>
            <c:numRef>
              <c:f>'20251113-小瓶子水中上升實驗數據圖表整理'!$E$16:$E$22</c:f>
              <c:numCache>
                <c:formatCode>0.00_ </c:formatCode>
                <c:ptCount val="7"/>
                <c:pt idx="0">
                  <c:v>6.25</c:v>
                </c:pt>
                <c:pt idx="1">
                  <c:v>6.25</c:v>
                </c:pt>
                <c:pt idx="2">
                  <c:v>43.750000000000007</c:v>
                </c:pt>
                <c:pt idx="3">
                  <c:v>12.499999999999998</c:v>
                </c:pt>
                <c:pt idx="4">
                  <c:v>41.25</c:v>
                </c:pt>
                <c:pt idx="5">
                  <c:v>21.25</c:v>
                </c:pt>
                <c:pt idx="6">
                  <c:v>31.249999999999972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A0-40B1-A0DB-4BE6C9CC2B3A}"/>
            </c:ext>
          </c:extLst>
        </c:ser>
        <c:ser>
          <c:idx val="1"/>
          <c:order val="2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"/>
            <c:dispRSqr val="1"/>
            <c:dispEq val="1"/>
            <c:trendlineLbl>
              <c:layout>
                <c:manualLayout>
                  <c:x val="0.21059664666775899"/>
                  <c:y val="4.06849315068493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'20251113-小瓶子水中上升實驗數據圖表整理'!$B$29:$B$35</c:f>
              <c:numCache>
                <c:formatCode>0.00_ </c:formatCode>
                <c:ptCount val="7"/>
                <c:pt idx="0">
                  <c:v>0.19</c:v>
                </c:pt>
                <c:pt idx="1">
                  <c:v>0.28999999999999998</c:v>
                </c:pt>
                <c:pt idx="2">
                  <c:v>0.35</c:v>
                </c:pt>
                <c:pt idx="3">
                  <c:v>0.49</c:v>
                </c:pt>
                <c:pt idx="4">
                  <c:v>0.79</c:v>
                </c:pt>
                <c:pt idx="5">
                  <c:v>0.99</c:v>
                </c:pt>
                <c:pt idx="6">
                  <c:v>1.29</c:v>
                </c:pt>
              </c:numCache>
            </c:numRef>
          </c:xVal>
          <c:yVal>
            <c:numRef>
              <c:f>'20251113-小瓶子水中上升實驗數據圖表整理'!$E$29:$E$35</c:f>
              <c:numCache>
                <c:formatCode>0.00_ </c:formatCode>
                <c:ptCount val="7"/>
                <c:pt idx="0">
                  <c:v>5.2631578947368425</c:v>
                </c:pt>
                <c:pt idx="1">
                  <c:v>13.000000000000011</c:v>
                </c:pt>
                <c:pt idx="2">
                  <c:v>21.66666666666665</c:v>
                </c:pt>
                <c:pt idx="3">
                  <c:v>12.142857142857149</c:v>
                </c:pt>
                <c:pt idx="4">
                  <c:v>7.3333333333333295</c:v>
                </c:pt>
                <c:pt idx="5">
                  <c:v>20.000000000000004</c:v>
                </c:pt>
                <c:pt idx="6">
                  <c:v>19.999999999999996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2B-4AFC-BF1B-A0E0349790C6}"/>
            </c:ext>
          </c:extLst>
        </c:ser>
        <c:ser>
          <c:idx val="0"/>
          <c:order val="3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553149606299212E-2"/>
                  <c:y val="-7.36063721201516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'20251113-小瓶子水中上升實驗數據圖表整理'!$B$42:$B$56</c:f>
              <c:numCache>
                <c:formatCode>0.00_ </c:formatCode>
                <c:ptCount val="15"/>
                <c:pt idx="0">
                  <c:v>1.02</c:v>
                </c:pt>
                <c:pt idx="1">
                  <c:v>2.0299999999999998</c:v>
                </c:pt>
                <c:pt idx="2">
                  <c:v>3.02</c:v>
                </c:pt>
                <c:pt idx="3">
                  <c:v>4.03</c:v>
                </c:pt>
                <c:pt idx="4">
                  <c:v>5.04</c:v>
                </c:pt>
                <c:pt idx="5">
                  <c:v>6.02</c:v>
                </c:pt>
                <c:pt idx="6">
                  <c:v>7.02</c:v>
                </c:pt>
                <c:pt idx="7">
                  <c:v>8.02</c:v>
                </c:pt>
                <c:pt idx="8">
                  <c:v>9.01</c:v>
                </c:pt>
                <c:pt idx="9">
                  <c:v>10.01</c:v>
                </c:pt>
                <c:pt idx="10">
                  <c:v>11</c:v>
                </c:pt>
                <c:pt idx="11">
                  <c:v>12.05</c:v>
                </c:pt>
                <c:pt idx="12">
                  <c:v>13.03</c:v>
                </c:pt>
                <c:pt idx="13">
                  <c:v>14.03</c:v>
                </c:pt>
                <c:pt idx="14">
                  <c:v>15</c:v>
                </c:pt>
              </c:numCache>
            </c:numRef>
          </c:xVal>
          <c:yVal>
            <c:numRef>
              <c:f>'20251113-小瓶子水中上升實驗數據圖表整理'!$E$42:$E$56</c:f>
              <c:numCache>
                <c:formatCode>0.00_ </c:formatCode>
                <c:ptCount val="15"/>
                <c:pt idx="0">
                  <c:v>0.39215686274509837</c:v>
                </c:pt>
                <c:pt idx="1">
                  <c:v>0.89108910891089166</c:v>
                </c:pt>
                <c:pt idx="2">
                  <c:v>1.1111111111111105</c:v>
                </c:pt>
                <c:pt idx="3">
                  <c:v>0.69306930693069224</c:v>
                </c:pt>
                <c:pt idx="4">
                  <c:v>0.89108910891089166</c:v>
                </c:pt>
                <c:pt idx="5">
                  <c:v>0.91836734693877631</c:v>
                </c:pt>
                <c:pt idx="6">
                  <c:v>0.90000000000000036</c:v>
                </c:pt>
                <c:pt idx="7">
                  <c:v>1</c:v>
                </c:pt>
                <c:pt idx="8">
                  <c:v>1.1111111111111105</c:v>
                </c:pt>
                <c:pt idx="9">
                  <c:v>0.80000000000000071</c:v>
                </c:pt>
                <c:pt idx="10">
                  <c:v>0.70707070707070618</c:v>
                </c:pt>
                <c:pt idx="11">
                  <c:v>0.95238095238095177</c:v>
                </c:pt>
                <c:pt idx="12">
                  <c:v>1.0204081632653075</c:v>
                </c:pt>
                <c:pt idx="13">
                  <c:v>1</c:v>
                </c:pt>
                <c:pt idx="14">
                  <c:v>1.2371134020618542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2B-4AFC-BF1B-A0E034979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18928"/>
        <c:axId val="234534768"/>
      </c:scatterChart>
      <c:valAx>
        <c:axId val="2345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4534768"/>
        <c:crosses val="autoZero"/>
        <c:crossBetween val="midCat"/>
      </c:valAx>
      <c:valAx>
        <c:axId val="2345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v(cm/s)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45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a-t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0.2"/>
            <c:backward val="1.7000000000000002"/>
            <c:dispRSqr val="1"/>
            <c:dispEq val="1"/>
            <c:trendlineLbl>
              <c:layout>
                <c:manualLayout>
                  <c:x val="-0.1775774278215223"/>
                  <c:y val="-0.14854695246427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'20251113-小瓶子水中上升實驗數據圖表整理'!$B$43:$B$56</c:f>
              <c:numCache>
                <c:formatCode>0.00_ </c:formatCode>
                <c:ptCount val="14"/>
                <c:pt idx="0">
                  <c:v>2.0299999999999998</c:v>
                </c:pt>
                <c:pt idx="1">
                  <c:v>3.02</c:v>
                </c:pt>
                <c:pt idx="2">
                  <c:v>4.03</c:v>
                </c:pt>
                <c:pt idx="3">
                  <c:v>5.04</c:v>
                </c:pt>
                <c:pt idx="4">
                  <c:v>6.02</c:v>
                </c:pt>
                <c:pt idx="5">
                  <c:v>7.02</c:v>
                </c:pt>
                <c:pt idx="6">
                  <c:v>8.02</c:v>
                </c:pt>
                <c:pt idx="7">
                  <c:v>9.01</c:v>
                </c:pt>
                <c:pt idx="8">
                  <c:v>10.01</c:v>
                </c:pt>
                <c:pt idx="9">
                  <c:v>11</c:v>
                </c:pt>
                <c:pt idx="10">
                  <c:v>12.05</c:v>
                </c:pt>
                <c:pt idx="11">
                  <c:v>13.03</c:v>
                </c:pt>
                <c:pt idx="12">
                  <c:v>14.03</c:v>
                </c:pt>
                <c:pt idx="13">
                  <c:v>15</c:v>
                </c:pt>
              </c:numCache>
            </c:numRef>
          </c:xVal>
          <c:yVal>
            <c:numRef>
              <c:f>'20251113-小瓶子水中上升實驗數據圖表整理'!$F$43:$F$56</c:f>
              <c:numCache>
                <c:formatCode>0.00_ </c:formatCode>
                <c:ptCount val="14"/>
                <c:pt idx="0">
                  <c:v>0.49399232293642908</c:v>
                </c:pt>
                <c:pt idx="1">
                  <c:v>0.22224444666688767</c:v>
                </c:pt>
                <c:pt idx="2">
                  <c:v>-0.41390277641625561</c:v>
                </c:pt>
                <c:pt idx="3">
                  <c:v>0.19605920988138562</c:v>
                </c:pt>
                <c:pt idx="4">
                  <c:v>2.7834936763147616E-2</c:v>
                </c:pt>
                <c:pt idx="5">
                  <c:v>-1.8367346938775952E-2</c:v>
                </c:pt>
                <c:pt idx="6">
                  <c:v>9.9999999999999645E-2</c:v>
                </c:pt>
                <c:pt idx="7">
                  <c:v>0.11223344556677825</c:v>
                </c:pt>
                <c:pt idx="8">
                  <c:v>-0.31111111111110978</c:v>
                </c:pt>
                <c:pt idx="9">
                  <c:v>-9.3867972655853033E-2</c:v>
                </c:pt>
                <c:pt idx="10">
                  <c:v>0.2336288050573766</c:v>
                </c:pt>
                <c:pt idx="11">
                  <c:v>6.9415521310567135E-2</c:v>
                </c:pt>
                <c:pt idx="12">
                  <c:v>-2.0408163265307477E-2</c:v>
                </c:pt>
                <c:pt idx="13">
                  <c:v>0.24444680624933401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F-4851-B50B-5548565C5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13424"/>
        <c:axId val="1847813904"/>
      </c:scatterChart>
      <c:valAx>
        <c:axId val="18478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904"/>
        <c:crosses val="autoZero"/>
        <c:crossBetween val="midCat"/>
      </c:valAx>
      <c:valAx>
        <c:axId val="1847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a(cm/s^2)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a-t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30000000000000004"/>
            <c:dispRSqr val="1"/>
            <c:dispEq val="1"/>
            <c:trendlineLbl>
              <c:layout>
                <c:manualLayout>
                  <c:x val="0.22967218168962988"/>
                  <c:y val="6.8082191780821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'20251113-小瓶子水中上升實驗數據圖表整理'!$B$4:$B$8</c:f>
              <c:numCache>
                <c:formatCode>0.00_ </c:formatCode>
                <c:ptCount val="5"/>
                <c:pt idx="0">
                  <c:v>0.16</c:v>
                </c:pt>
                <c:pt idx="1">
                  <c:v>0.24</c:v>
                </c:pt>
                <c:pt idx="2">
                  <c:v>0.32</c:v>
                </c:pt>
                <c:pt idx="3">
                  <c:v>0.4</c:v>
                </c:pt>
                <c:pt idx="4">
                  <c:v>0.48</c:v>
                </c:pt>
              </c:numCache>
            </c:numRef>
          </c:xVal>
          <c:yVal>
            <c:numRef>
              <c:f>'20251113-小瓶子水中上升實驗數據圖表整理'!$F$4:$F$8</c:f>
              <c:numCache>
                <c:formatCode>0.00_ </c:formatCode>
                <c:ptCount val="5"/>
                <c:pt idx="0">
                  <c:v>1.3877787807814457E-13</c:v>
                </c:pt>
                <c:pt idx="1">
                  <c:v>70.312499999999929</c:v>
                </c:pt>
                <c:pt idx="2">
                  <c:v>312.49999999999983</c:v>
                </c:pt>
                <c:pt idx="3">
                  <c:v>-250</c:v>
                </c:pt>
                <c:pt idx="4">
                  <c:v>484.37500000000097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66-4893-8AD7-9919D146F600}"/>
            </c:ext>
          </c:extLst>
        </c:ser>
        <c:ser>
          <c:idx val="3"/>
          <c:order val="1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.46"/>
            <c:dispRSqr val="1"/>
            <c:dispEq val="1"/>
            <c:trendlineLbl>
              <c:layout>
                <c:manualLayout>
                  <c:x val="0.22466584669420003"/>
                  <c:y val="5.84902743321467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'20251113-小瓶子水中上升實驗數據圖表整理'!$B$17:$B$22</c:f>
              <c:numCache>
                <c:formatCode>0.00_ </c:formatCode>
                <c:ptCount val="6"/>
                <c:pt idx="0">
                  <c:v>0.16</c:v>
                </c:pt>
                <c:pt idx="1">
                  <c:v>0.24</c:v>
                </c:pt>
                <c:pt idx="2">
                  <c:v>0.32</c:v>
                </c:pt>
                <c:pt idx="3">
                  <c:v>0.4</c:v>
                </c:pt>
                <c:pt idx="4">
                  <c:v>0.48</c:v>
                </c:pt>
                <c:pt idx="5">
                  <c:v>0.56000000000000005</c:v>
                </c:pt>
              </c:numCache>
            </c:numRef>
          </c:xVal>
          <c:yVal>
            <c:numRef>
              <c:f>'20251113-小瓶子水中上升實驗數據圖表整理'!$F$17:$F$22</c:f>
              <c:numCache>
                <c:formatCode>0.00_ </c:formatCode>
                <c:ptCount val="6"/>
                <c:pt idx="0">
                  <c:v>0</c:v>
                </c:pt>
                <c:pt idx="1">
                  <c:v>468.75000000000017</c:v>
                </c:pt>
                <c:pt idx="2">
                  <c:v>-390.625</c:v>
                </c:pt>
                <c:pt idx="3">
                  <c:v>359.37499999999994</c:v>
                </c:pt>
                <c:pt idx="4">
                  <c:v>-250.00000000000011</c:v>
                </c:pt>
                <c:pt idx="5">
                  <c:v>124.99999999999953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66-4893-8AD7-9919D146F600}"/>
            </c:ext>
          </c:extLst>
        </c:ser>
        <c:ser>
          <c:idx val="1"/>
          <c:order val="2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6.1499999999999995"/>
            <c:dispRSqr val="1"/>
            <c:dispEq val="1"/>
            <c:trendlineLbl>
              <c:layout>
                <c:manualLayout>
                  <c:x val="0.21773515470352983"/>
                  <c:y val="-4.6266853629597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'20251113-小瓶子水中上升實驗數據圖表整理'!$B$30:$B$35</c:f>
              <c:numCache>
                <c:formatCode>0.00_ </c:formatCode>
                <c:ptCount val="6"/>
                <c:pt idx="0">
                  <c:v>0.28999999999999998</c:v>
                </c:pt>
                <c:pt idx="1">
                  <c:v>0.35</c:v>
                </c:pt>
                <c:pt idx="2">
                  <c:v>0.49</c:v>
                </c:pt>
                <c:pt idx="3">
                  <c:v>0.79</c:v>
                </c:pt>
                <c:pt idx="4">
                  <c:v>0.99</c:v>
                </c:pt>
                <c:pt idx="5">
                  <c:v>1.29</c:v>
                </c:pt>
              </c:numCache>
            </c:numRef>
          </c:xVal>
          <c:yVal>
            <c:numRef>
              <c:f>'20251113-小瓶子水中上升實驗數據圖表整理'!$F$30:$F$35</c:f>
              <c:numCache>
                <c:formatCode>0.00_ </c:formatCode>
                <c:ptCount val="6"/>
                <c:pt idx="0">
                  <c:v>77.368421052631703</c:v>
                </c:pt>
                <c:pt idx="1">
                  <c:v>144.444444444444</c:v>
                </c:pt>
                <c:pt idx="2">
                  <c:v>-68.027210884353565</c:v>
                </c:pt>
                <c:pt idx="3">
                  <c:v>-16.031746031746064</c:v>
                </c:pt>
                <c:pt idx="4">
                  <c:v>63.333333333333385</c:v>
                </c:pt>
                <c:pt idx="5">
                  <c:v>-2.3684757858670004E-14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E-493B-9435-97897B1E9ABD}"/>
            </c:ext>
          </c:extLst>
        </c:ser>
        <c:ser>
          <c:idx val="0"/>
          <c:order val="3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013123359580053E-2"/>
                  <c:y val="-6.7212015164771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'20251113-小瓶子水中上升實驗數據圖表整理'!$B$41:$B$56</c:f>
              <c:numCache>
                <c:formatCode>0.00_ </c:formatCode>
                <c:ptCount val="16"/>
                <c:pt idx="0">
                  <c:v>0</c:v>
                </c:pt>
                <c:pt idx="1">
                  <c:v>1.02</c:v>
                </c:pt>
                <c:pt idx="2">
                  <c:v>2.0299999999999998</c:v>
                </c:pt>
                <c:pt idx="3">
                  <c:v>3.02</c:v>
                </c:pt>
                <c:pt idx="4">
                  <c:v>4.03</c:v>
                </c:pt>
                <c:pt idx="5">
                  <c:v>5.04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9.01</c:v>
                </c:pt>
                <c:pt idx="10">
                  <c:v>10.01</c:v>
                </c:pt>
                <c:pt idx="11">
                  <c:v>11</c:v>
                </c:pt>
                <c:pt idx="12">
                  <c:v>12.05</c:v>
                </c:pt>
                <c:pt idx="13">
                  <c:v>13.03</c:v>
                </c:pt>
                <c:pt idx="14">
                  <c:v>14.03</c:v>
                </c:pt>
                <c:pt idx="15">
                  <c:v>15</c:v>
                </c:pt>
              </c:numCache>
            </c:numRef>
          </c:xVal>
          <c:yVal>
            <c:numRef>
              <c:f>'20251113-小瓶子水中上升實驗數據圖表整理'!$F$43:$F$56</c:f>
              <c:numCache>
                <c:formatCode>0.00_ </c:formatCode>
                <c:ptCount val="14"/>
                <c:pt idx="0">
                  <c:v>0.49399232293642908</c:v>
                </c:pt>
                <c:pt idx="1">
                  <c:v>0.22224444666688767</c:v>
                </c:pt>
                <c:pt idx="2">
                  <c:v>-0.41390277641625561</c:v>
                </c:pt>
                <c:pt idx="3">
                  <c:v>0.19605920988138562</c:v>
                </c:pt>
                <c:pt idx="4">
                  <c:v>2.7834936763147616E-2</c:v>
                </c:pt>
                <c:pt idx="5">
                  <c:v>-1.8367346938775952E-2</c:v>
                </c:pt>
                <c:pt idx="6">
                  <c:v>9.9999999999999645E-2</c:v>
                </c:pt>
                <c:pt idx="7">
                  <c:v>0.11223344556677825</c:v>
                </c:pt>
                <c:pt idx="8">
                  <c:v>-0.31111111111110978</c:v>
                </c:pt>
                <c:pt idx="9">
                  <c:v>-9.3867972655853033E-2</c:v>
                </c:pt>
                <c:pt idx="10">
                  <c:v>0.2336288050573766</c:v>
                </c:pt>
                <c:pt idx="11">
                  <c:v>6.9415521310567135E-2</c:v>
                </c:pt>
                <c:pt idx="12">
                  <c:v>-2.0408163265307477E-2</c:v>
                </c:pt>
                <c:pt idx="13">
                  <c:v>0.24444680624933401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E-493B-9435-97897B1E9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13424"/>
        <c:axId val="1847813904"/>
      </c:scatterChart>
      <c:valAx>
        <c:axId val="18478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904"/>
        <c:crosses val="autoZero"/>
        <c:crossBetween val="midCat"/>
      </c:valAx>
      <c:valAx>
        <c:axId val="1847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a(cm/s^2)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0ml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x-t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7391294838145233E-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'20251113-小瓶子水中上升實驗數據圖表整理'!$B$2:$B$8</c:f>
              <c:numCache>
                <c:formatCode>0.00_ </c:formatCode>
                <c:ptCount val="7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</c:numCache>
            </c:numRef>
          </c:xVal>
          <c:yVal>
            <c:numRef>
              <c:f>'20251113-小瓶子水中上升實驗數據圖表整理'!$D$2:$D$8</c:f>
              <c:numCache>
                <c:formatCode>0.0_ </c:formatCode>
                <c:ptCount val="7"/>
                <c:pt idx="0">
                  <c:v>0</c:v>
                </c:pt>
                <c:pt idx="1">
                  <c:v>9.9999999999999645E-2</c:v>
                </c:pt>
                <c:pt idx="2">
                  <c:v>0.20000000000000018</c:v>
                </c:pt>
                <c:pt idx="3">
                  <c:v>0.75</c:v>
                </c:pt>
                <c:pt idx="4">
                  <c:v>3.3</c:v>
                </c:pt>
                <c:pt idx="5">
                  <c:v>4.2499999999999991</c:v>
                </c:pt>
                <c:pt idx="6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9B-4758-B47C-64795A2C3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78864"/>
        <c:axId val="2117575504"/>
      </c:scatterChart>
      <c:valAx>
        <c:axId val="211757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5504"/>
        <c:crosses val="autoZero"/>
        <c:crossBetween val="midCat"/>
      </c:valAx>
      <c:valAx>
        <c:axId val="21175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baseline="0">
                    <a:effectLst/>
                  </a:rPr>
                  <a:t>Δ</a:t>
                </a:r>
                <a:r>
                  <a:rPr lang="en-US" altLang="zh-TW" sz="1000" b="0" i="0" u="none" strike="noStrike" baseline="0">
                    <a:effectLst/>
                  </a:rPr>
                  <a:t>x(cm)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x-t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312664041994751"/>
                  <c:y val="5.05092592592592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'20251113-小瓶子水中上升實驗數據圖表整理'!$B$15:$B$22</c:f>
              <c:numCache>
                <c:formatCode>0.00_ </c:formatCode>
                <c:ptCount val="8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  <c:pt idx="7">
                  <c:v>0.56000000000000005</c:v>
                </c:pt>
              </c:numCache>
            </c:numRef>
          </c:xVal>
          <c:yVal>
            <c:numRef>
              <c:f>'20251113-小瓶子水中上升實驗數據圖表整理'!$D$15:$D$22</c:f>
              <c:numCache>
                <c:formatCode>0.0_ 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4.5</c:v>
                </c:pt>
                <c:pt idx="4">
                  <c:v>5.5</c:v>
                </c:pt>
                <c:pt idx="5">
                  <c:v>8.8000000000000007</c:v>
                </c:pt>
                <c:pt idx="6">
                  <c:v>10.5</c:v>
                </c:pt>
                <c:pt idx="7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E-4AA3-8123-B12A0A546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78864"/>
        <c:axId val="2117575504"/>
      </c:scatterChart>
      <c:valAx>
        <c:axId val="211757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5504"/>
        <c:crosses val="autoZero"/>
        <c:crossBetween val="midCat"/>
      </c:valAx>
      <c:valAx>
        <c:axId val="21175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baseline="0">
                    <a:effectLst/>
                  </a:rPr>
                  <a:t>Δ</a:t>
                </a:r>
                <a:r>
                  <a:rPr lang="en-US" altLang="zh-TW" sz="1000" b="0" i="0" u="none" strike="noStrike" baseline="0">
                    <a:effectLst/>
                  </a:rPr>
                  <a:t>x(cm)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0ml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v-t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629768153980753"/>
                  <c:y val="0.12295129775444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'20251113-小瓶子水中上升實驗數據圖表整理'!$B$3:$B$8</c:f>
              <c:numCache>
                <c:formatCode>0.00_ 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</c:numCache>
            </c:numRef>
          </c:xVal>
          <c:yVal>
            <c:numRef>
              <c:f>'20251113-小瓶子水中上升實驗數據圖表整理'!$E$3:$E$8</c:f>
              <c:numCache>
                <c:formatCode>0.00_ </c:formatCode>
                <c:ptCount val="6"/>
                <c:pt idx="0">
                  <c:v>1.2499999999999956</c:v>
                </c:pt>
                <c:pt idx="1">
                  <c:v>1.2500000000000067</c:v>
                </c:pt>
                <c:pt idx="2">
                  <c:v>6.8749999999999991</c:v>
                </c:pt>
                <c:pt idx="3">
                  <c:v>31.874999999999993</c:v>
                </c:pt>
                <c:pt idx="4">
                  <c:v>11.874999999999989</c:v>
                </c:pt>
                <c:pt idx="5">
                  <c:v>50.625000000000043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82-46FA-A677-410099D2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71184"/>
        <c:axId val="2117578384"/>
      </c:scatterChart>
      <c:valAx>
        <c:axId val="21175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8384"/>
        <c:crosses val="autoZero"/>
        <c:crossBetween val="midCat"/>
      </c:valAx>
      <c:valAx>
        <c:axId val="2117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v(cm/s)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v-t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109580052493432E-2"/>
                  <c:y val="-8.38830562846310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'20251113-小瓶子水中上升實驗數據圖表整理'!$B$16:$B$22</c:f>
              <c:numCache>
                <c:formatCode>0.00_ </c:formatCode>
                <c:ptCount val="7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  <c:pt idx="6">
                  <c:v>0.56000000000000005</c:v>
                </c:pt>
              </c:numCache>
            </c:numRef>
          </c:xVal>
          <c:yVal>
            <c:numRef>
              <c:f>'20251113-小瓶子水中上升實驗數據圖表整理'!$E$16:$E$22</c:f>
              <c:numCache>
                <c:formatCode>0.00_ </c:formatCode>
                <c:ptCount val="7"/>
                <c:pt idx="0">
                  <c:v>6.25</c:v>
                </c:pt>
                <c:pt idx="1">
                  <c:v>6.25</c:v>
                </c:pt>
                <c:pt idx="2">
                  <c:v>43.750000000000007</c:v>
                </c:pt>
                <c:pt idx="3">
                  <c:v>12.499999999999998</c:v>
                </c:pt>
                <c:pt idx="4">
                  <c:v>41.25</c:v>
                </c:pt>
                <c:pt idx="5">
                  <c:v>21.25</c:v>
                </c:pt>
                <c:pt idx="6">
                  <c:v>31.249999999999972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BA-420E-AA6C-4BD12FFE1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71184"/>
        <c:axId val="2117578384"/>
      </c:scatterChart>
      <c:valAx>
        <c:axId val="21175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8384"/>
        <c:crosses val="autoZero"/>
        <c:crossBetween val="midCat"/>
      </c:valAx>
      <c:valAx>
        <c:axId val="2117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v(cm/s)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57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0ml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a-t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8.0000000000000016E-2"/>
            <c:backward val="0.15000000000000002"/>
            <c:dispRSqr val="1"/>
            <c:dispEq val="1"/>
            <c:trendlineLbl>
              <c:layout>
                <c:manualLayout>
                  <c:x val="-0.12567935258092738"/>
                  <c:y val="-0.10397163896179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'20251113-小瓶子水中上升實驗數據圖表整理'!$B$4:$B$8</c:f>
              <c:numCache>
                <c:formatCode>0.00_ </c:formatCode>
                <c:ptCount val="5"/>
                <c:pt idx="0">
                  <c:v>0.16</c:v>
                </c:pt>
                <c:pt idx="1">
                  <c:v>0.24</c:v>
                </c:pt>
                <c:pt idx="2">
                  <c:v>0.32</c:v>
                </c:pt>
                <c:pt idx="3">
                  <c:v>0.4</c:v>
                </c:pt>
                <c:pt idx="4">
                  <c:v>0.48</c:v>
                </c:pt>
              </c:numCache>
            </c:numRef>
          </c:xVal>
          <c:yVal>
            <c:numRef>
              <c:f>'20251113-小瓶子水中上升實驗數據圖表整理'!$F$4:$F$8</c:f>
              <c:numCache>
                <c:formatCode>0.00_ </c:formatCode>
                <c:ptCount val="5"/>
                <c:pt idx="0">
                  <c:v>1.3877787807814457E-13</c:v>
                </c:pt>
                <c:pt idx="1">
                  <c:v>70.312499999999929</c:v>
                </c:pt>
                <c:pt idx="2">
                  <c:v>312.49999999999983</c:v>
                </c:pt>
                <c:pt idx="3">
                  <c:v>-250</c:v>
                </c:pt>
                <c:pt idx="4">
                  <c:v>484.37500000000097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67-4C40-B42D-98FD8C15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13424"/>
        <c:axId val="1847813904"/>
      </c:scatterChart>
      <c:valAx>
        <c:axId val="18478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904"/>
        <c:crosses val="autoZero"/>
        <c:crossBetween val="midCat"/>
      </c:valAx>
      <c:valAx>
        <c:axId val="1847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a(cm/s^2)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5ml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a-t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'20251113-小瓶子水中上升實驗數據圖表整理'!$F$17:$G$17</c:f>
              <c:strCache>
                <c:ptCount val="1"/>
                <c:pt idx="0">
                  <c:v>0.00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backward val="0.15000000000000002"/>
            <c:dispRSqr val="1"/>
            <c:dispEq val="1"/>
            <c:trendlineLbl>
              <c:layout>
                <c:manualLayout>
                  <c:x val="8.4516841644794394E-2"/>
                  <c:y val="-0.184757217847769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'20251113-小瓶子水中上升實驗數據圖表整理'!$B$17:$B$22</c:f>
              <c:numCache>
                <c:formatCode>0.00_ </c:formatCode>
                <c:ptCount val="6"/>
                <c:pt idx="0">
                  <c:v>0.16</c:v>
                </c:pt>
                <c:pt idx="1">
                  <c:v>0.24</c:v>
                </c:pt>
                <c:pt idx="2">
                  <c:v>0.32</c:v>
                </c:pt>
                <c:pt idx="3">
                  <c:v>0.4</c:v>
                </c:pt>
                <c:pt idx="4">
                  <c:v>0.48</c:v>
                </c:pt>
                <c:pt idx="5">
                  <c:v>0.56000000000000005</c:v>
                </c:pt>
              </c:numCache>
            </c:numRef>
          </c:xVal>
          <c:yVal>
            <c:numRef>
              <c:f>'20251113-小瓶子水中上升實驗數據圖表整理'!$F$17:$F$22</c:f>
              <c:numCache>
                <c:formatCode>0.00_ </c:formatCode>
                <c:ptCount val="6"/>
                <c:pt idx="0">
                  <c:v>0</c:v>
                </c:pt>
                <c:pt idx="1">
                  <c:v>468.75000000000017</c:v>
                </c:pt>
                <c:pt idx="2">
                  <c:v>-390.625</c:v>
                </c:pt>
                <c:pt idx="3">
                  <c:v>359.37499999999994</c:v>
                </c:pt>
                <c:pt idx="4">
                  <c:v>-250.00000000000011</c:v>
                </c:pt>
                <c:pt idx="5">
                  <c:v>124.99999999999953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07-4CB8-85ED-A4CB1755B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13424"/>
        <c:axId val="1847813904"/>
      </c:scatterChart>
      <c:valAx>
        <c:axId val="18478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904"/>
        <c:crosses val="autoZero"/>
        <c:crossBetween val="midCat"/>
      </c:valAx>
      <c:valAx>
        <c:axId val="1847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a(cm/s^2)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x-t</a:t>
            </a:r>
            <a:r>
              <a:rPr lang="zh-TW" altLang="en-US"/>
              <a:t> </a:t>
            </a:r>
            <a:r>
              <a:rPr lang="en-US" altLang="zh-TW"/>
              <a:t>graph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0.21000000000000002"/>
            <c:dispRSqr val="1"/>
            <c:dispEq val="1"/>
            <c:trendlineLbl>
              <c:layout>
                <c:manualLayout>
                  <c:x val="0.19722222222222222"/>
                  <c:y val="0.231064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'20251113-小瓶子水中上升實驗數據圖表整理'!$B$2:$B$8</c:f>
              <c:numCache>
                <c:formatCode>0.00_ </c:formatCode>
                <c:ptCount val="7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</c:numCache>
            </c:numRef>
          </c:xVal>
          <c:yVal>
            <c:numRef>
              <c:f>'20251113-小瓶子水中上升實驗數據圖表整理'!$D$2:$D$8</c:f>
              <c:numCache>
                <c:formatCode>0.0_ </c:formatCode>
                <c:ptCount val="7"/>
                <c:pt idx="0">
                  <c:v>0</c:v>
                </c:pt>
                <c:pt idx="1">
                  <c:v>9.9999999999999645E-2</c:v>
                </c:pt>
                <c:pt idx="2">
                  <c:v>0.20000000000000018</c:v>
                </c:pt>
                <c:pt idx="3">
                  <c:v>0.75</c:v>
                </c:pt>
                <c:pt idx="4">
                  <c:v>3.3</c:v>
                </c:pt>
                <c:pt idx="5">
                  <c:v>4.2499999999999991</c:v>
                </c:pt>
                <c:pt idx="6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0C-4B48-9C02-22AA9C9CFD5C}"/>
            </c:ext>
          </c:extLst>
        </c:ser>
        <c:ser>
          <c:idx val="3"/>
          <c:order val="1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0.1"/>
            <c:dispRSqr val="1"/>
            <c:dispEq val="1"/>
            <c:trendlineLbl>
              <c:layout>
                <c:manualLayout>
                  <c:x val="0.12222222222222222"/>
                  <c:y val="-8.837962962962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'20251113-小瓶子水中上升實驗數據圖表整理'!$B$15:$B$22</c:f>
              <c:numCache>
                <c:formatCode>0.00_ </c:formatCode>
                <c:ptCount val="8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  <c:pt idx="7">
                  <c:v>0.56000000000000005</c:v>
                </c:pt>
              </c:numCache>
            </c:numRef>
          </c:xVal>
          <c:yVal>
            <c:numRef>
              <c:f>'20251113-小瓶子水中上升實驗數據圖表整理'!$D$15:$D$22</c:f>
              <c:numCache>
                <c:formatCode>0.0_ 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4.5</c:v>
                </c:pt>
                <c:pt idx="4">
                  <c:v>5.5</c:v>
                </c:pt>
                <c:pt idx="5">
                  <c:v>8.8000000000000007</c:v>
                </c:pt>
                <c:pt idx="6">
                  <c:v>10.5</c:v>
                </c:pt>
                <c:pt idx="7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0C-4B48-9C02-22AA9C9CFD5C}"/>
            </c:ext>
          </c:extLst>
        </c:ser>
        <c:ser>
          <c:idx val="1"/>
          <c:order val="2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2500000000000001"/>
                  <c:y val="4.12500000000000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'20251113-小瓶子水中上升實驗數據圖表整理'!$B$28:$B$35</c:f>
              <c:numCache>
                <c:formatCode>0.00_ </c:formatCode>
                <c:ptCount val="8"/>
                <c:pt idx="0">
                  <c:v>0</c:v>
                </c:pt>
                <c:pt idx="1">
                  <c:v>0.19</c:v>
                </c:pt>
                <c:pt idx="2">
                  <c:v>0.28999999999999998</c:v>
                </c:pt>
                <c:pt idx="3">
                  <c:v>0.35</c:v>
                </c:pt>
                <c:pt idx="4">
                  <c:v>0.49</c:v>
                </c:pt>
                <c:pt idx="5">
                  <c:v>0.79</c:v>
                </c:pt>
                <c:pt idx="6">
                  <c:v>0.99</c:v>
                </c:pt>
                <c:pt idx="7">
                  <c:v>1.29</c:v>
                </c:pt>
              </c:numCache>
            </c:numRef>
          </c:xVal>
          <c:yVal>
            <c:numRef>
              <c:f>'20251113-小瓶子水中上升實驗數據圖表整理'!$D$28:$D$35</c:f>
              <c:numCache>
                <c:formatCode>0.0_ 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2.3000000000000007</c:v>
                </c:pt>
                <c:pt idx="3">
                  <c:v>3.5999999999999996</c:v>
                </c:pt>
                <c:pt idx="4">
                  <c:v>5.3000000000000007</c:v>
                </c:pt>
                <c:pt idx="5">
                  <c:v>7.5</c:v>
                </c:pt>
                <c:pt idx="6">
                  <c:v>11.5</c:v>
                </c:pt>
                <c:pt idx="7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0C-4B48-9C02-22AA9C9CFD5C}"/>
            </c:ext>
          </c:extLst>
        </c:ser>
        <c:ser>
          <c:idx val="0"/>
          <c:order val="3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9702974628171479E-2"/>
                  <c:y val="0.1916560950714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'20251113-小瓶子水中上升實驗數據圖表整理'!$B$41:$B$56</c:f>
              <c:numCache>
                <c:formatCode>0.00_ </c:formatCode>
                <c:ptCount val="16"/>
                <c:pt idx="0">
                  <c:v>0</c:v>
                </c:pt>
                <c:pt idx="1">
                  <c:v>1.02</c:v>
                </c:pt>
                <c:pt idx="2">
                  <c:v>2.0299999999999998</c:v>
                </c:pt>
                <c:pt idx="3">
                  <c:v>3.02</c:v>
                </c:pt>
                <c:pt idx="4">
                  <c:v>4.03</c:v>
                </c:pt>
                <c:pt idx="5">
                  <c:v>5.04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9.01</c:v>
                </c:pt>
                <c:pt idx="10">
                  <c:v>10.01</c:v>
                </c:pt>
                <c:pt idx="11">
                  <c:v>11</c:v>
                </c:pt>
                <c:pt idx="12">
                  <c:v>12.05</c:v>
                </c:pt>
                <c:pt idx="13">
                  <c:v>13.03</c:v>
                </c:pt>
                <c:pt idx="14">
                  <c:v>14.03</c:v>
                </c:pt>
                <c:pt idx="15">
                  <c:v>15</c:v>
                </c:pt>
              </c:numCache>
            </c:numRef>
          </c:xVal>
          <c:yVal>
            <c:numRef>
              <c:f>'20251113-小瓶子水中上升實驗數據圖表整理'!$D$41:$D$56</c:f>
              <c:numCache>
                <c:formatCode>0.0_ </c:formatCode>
                <c:ptCount val="16"/>
                <c:pt idx="0">
                  <c:v>0</c:v>
                </c:pt>
                <c:pt idx="1">
                  <c:v>0.40000000000000036</c:v>
                </c:pt>
                <c:pt idx="2">
                  <c:v>1.3000000000000007</c:v>
                </c:pt>
                <c:pt idx="3">
                  <c:v>2.4000000000000004</c:v>
                </c:pt>
                <c:pt idx="4">
                  <c:v>3.0999999999999996</c:v>
                </c:pt>
                <c:pt idx="5">
                  <c:v>4</c:v>
                </c:pt>
                <c:pt idx="6">
                  <c:v>4.9000000000000004</c:v>
                </c:pt>
                <c:pt idx="7">
                  <c:v>5.8000000000000007</c:v>
                </c:pt>
                <c:pt idx="8">
                  <c:v>6.8000000000000007</c:v>
                </c:pt>
                <c:pt idx="9">
                  <c:v>7.9</c:v>
                </c:pt>
                <c:pt idx="10">
                  <c:v>8.7000000000000011</c:v>
                </c:pt>
                <c:pt idx="11">
                  <c:v>9.4</c:v>
                </c:pt>
                <c:pt idx="12">
                  <c:v>10.4</c:v>
                </c:pt>
                <c:pt idx="13">
                  <c:v>11.4</c:v>
                </c:pt>
                <c:pt idx="14">
                  <c:v>12.4</c:v>
                </c:pt>
                <c:pt idx="15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0C-4B48-9C02-22AA9C9C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4224"/>
        <c:axId val="1858280560"/>
      </c:scatterChart>
      <c:valAx>
        <c:axId val="522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8280560"/>
        <c:crosses val="autoZero"/>
        <c:crossBetween val="midCat"/>
      </c:valAx>
      <c:valAx>
        <c:axId val="18582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Δ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x(cm)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4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v-t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5000000000000002"/>
            <c:dispRSqr val="1"/>
            <c:dispEq val="1"/>
            <c:trendlineLbl>
              <c:layout>
                <c:manualLayout>
                  <c:x val="0.17222222222222222"/>
                  <c:y val="-0.10689814814814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'20251113-小瓶子水中上升實驗數據圖表整理'!$B$3:$B$8</c:f>
              <c:numCache>
                <c:formatCode>0.00_ 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</c:numCache>
            </c:numRef>
          </c:xVal>
          <c:yVal>
            <c:numRef>
              <c:f>'20251113-小瓶子水中上升實驗數據圖表整理'!$E$3:$E$8</c:f>
              <c:numCache>
                <c:formatCode>0.00_ </c:formatCode>
                <c:ptCount val="6"/>
                <c:pt idx="0">
                  <c:v>1.2499999999999956</c:v>
                </c:pt>
                <c:pt idx="1">
                  <c:v>1.2500000000000067</c:v>
                </c:pt>
                <c:pt idx="2">
                  <c:v>6.8749999999999991</c:v>
                </c:pt>
                <c:pt idx="3">
                  <c:v>31.874999999999993</c:v>
                </c:pt>
                <c:pt idx="4">
                  <c:v>11.874999999999989</c:v>
                </c:pt>
                <c:pt idx="5">
                  <c:v>50.625000000000043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7B-4DB5-8223-BC288CCDE2BB}"/>
            </c:ext>
          </c:extLst>
        </c:ser>
        <c:ser>
          <c:idx val="3"/>
          <c:order val="1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45"/>
            <c:dispRSqr val="1"/>
            <c:dispEq val="1"/>
            <c:trendlineLbl>
              <c:layout>
                <c:manualLayout>
                  <c:x val="0.22413796108754083"/>
                  <c:y val="4.15525114155251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'20251113-小瓶子水中上升實驗數據圖表整理'!$B$16:$B$22</c:f>
              <c:numCache>
                <c:formatCode>0.00_ </c:formatCode>
                <c:ptCount val="7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  <c:pt idx="6">
                  <c:v>0.56000000000000005</c:v>
                </c:pt>
              </c:numCache>
            </c:numRef>
          </c:xVal>
          <c:yVal>
            <c:numRef>
              <c:f>'20251113-小瓶子水中上升實驗數據圖表整理'!$E$16:$E$22</c:f>
              <c:numCache>
                <c:formatCode>0.00_ </c:formatCode>
                <c:ptCount val="7"/>
                <c:pt idx="0">
                  <c:v>6.25</c:v>
                </c:pt>
                <c:pt idx="1">
                  <c:v>6.25</c:v>
                </c:pt>
                <c:pt idx="2">
                  <c:v>43.750000000000007</c:v>
                </c:pt>
                <c:pt idx="3">
                  <c:v>12.499999999999998</c:v>
                </c:pt>
                <c:pt idx="4">
                  <c:v>41.25</c:v>
                </c:pt>
                <c:pt idx="5">
                  <c:v>21.25</c:v>
                </c:pt>
                <c:pt idx="6">
                  <c:v>31.249999999999972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7B-4DB5-8223-BC288CCDE2BB}"/>
            </c:ext>
          </c:extLst>
        </c:ser>
        <c:ser>
          <c:idx val="1"/>
          <c:order val="2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"/>
            <c:dispRSqr val="1"/>
            <c:dispEq val="1"/>
            <c:trendlineLbl>
              <c:layout>
                <c:manualLayout>
                  <c:x val="0.21059664666775899"/>
                  <c:y val="4.06849315068493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'20251113-小瓶子水中上升實驗數據圖表整理'!$B$29:$B$35</c:f>
              <c:numCache>
                <c:formatCode>0.00_ </c:formatCode>
                <c:ptCount val="7"/>
                <c:pt idx="0">
                  <c:v>0.19</c:v>
                </c:pt>
                <c:pt idx="1">
                  <c:v>0.28999999999999998</c:v>
                </c:pt>
                <c:pt idx="2">
                  <c:v>0.35</c:v>
                </c:pt>
                <c:pt idx="3">
                  <c:v>0.49</c:v>
                </c:pt>
                <c:pt idx="4">
                  <c:v>0.79</c:v>
                </c:pt>
                <c:pt idx="5">
                  <c:v>0.99</c:v>
                </c:pt>
                <c:pt idx="6">
                  <c:v>1.29</c:v>
                </c:pt>
              </c:numCache>
            </c:numRef>
          </c:xVal>
          <c:yVal>
            <c:numRef>
              <c:f>'20251113-小瓶子水中上升實驗數據圖表整理'!$E$29:$E$35</c:f>
              <c:numCache>
                <c:formatCode>0.00_ </c:formatCode>
                <c:ptCount val="7"/>
                <c:pt idx="0">
                  <c:v>5.2631578947368425</c:v>
                </c:pt>
                <c:pt idx="1">
                  <c:v>13.000000000000011</c:v>
                </c:pt>
                <c:pt idx="2">
                  <c:v>21.66666666666665</c:v>
                </c:pt>
                <c:pt idx="3">
                  <c:v>12.142857142857149</c:v>
                </c:pt>
                <c:pt idx="4">
                  <c:v>7.3333333333333295</c:v>
                </c:pt>
                <c:pt idx="5">
                  <c:v>20.000000000000004</c:v>
                </c:pt>
                <c:pt idx="6">
                  <c:v>19.999999999999996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7B-4DB5-8223-BC288CCDE2BB}"/>
            </c:ext>
          </c:extLst>
        </c:ser>
        <c:ser>
          <c:idx val="0"/>
          <c:order val="3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553149606299212E-2"/>
                  <c:y val="-7.36063721201516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'20251113-小瓶子水中上升實驗數據圖表整理'!$B$42:$B$56</c:f>
              <c:numCache>
                <c:formatCode>0.00_ </c:formatCode>
                <c:ptCount val="15"/>
                <c:pt idx="0">
                  <c:v>1.02</c:v>
                </c:pt>
                <c:pt idx="1">
                  <c:v>2.0299999999999998</c:v>
                </c:pt>
                <c:pt idx="2">
                  <c:v>3.02</c:v>
                </c:pt>
                <c:pt idx="3">
                  <c:v>4.03</c:v>
                </c:pt>
                <c:pt idx="4">
                  <c:v>5.04</c:v>
                </c:pt>
                <c:pt idx="5">
                  <c:v>6.02</c:v>
                </c:pt>
                <c:pt idx="6">
                  <c:v>7.02</c:v>
                </c:pt>
                <c:pt idx="7">
                  <c:v>8.02</c:v>
                </c:pt>
                <c:pt idx="8">
                  <c:v>9.01</c:v>
                </c:pt>
                <c:pt idx="9">
                  <c:v>10.01</c:v>
                </c:pt>
                <c:pt idx="10">
                  <c:v>11</c:v>
                </c:pt>
                <c:pt idx="11">
                  <c:v>12.05</c:v>
                </c:pt>
                <c:pt idx="12">
                  <c:v>13.03</c:v>
                </c:pt>
                <c:pt idx="13">
                  <c:v>14.03</c:v>
                </c:pt>
                <c:pt idx="14">
                  <c:v>15</c:v>
                </c:pt>
              </c:numCache>
            </c:numRef>
          </c:xVal>
          <c:yVal>
            <c:numRef>
              <c:f>'20251113-小瓶子水中上升實驗數據圖表整理'!$E$42:$E$56</c:f>
              <c:numCache>
                <c:formatCode>0.00_ </c:formatCode>
                <c:ptCount val="15"/>
                <c:pt idx="0">
                  <c:v>0.39215686274509837</c:v>
                </c:pt>
                <c:pt idx="1">
                  <c:v>0.89108910891089166</c:v>
                </c:pt>
                <c:pt idx="2">
                  <c:v>1.1111111111111105</c:v>
                </c:pt>
                <c:pt idx="3">
                  <c:v>0.69306930693069224</c:v>
                </c:pt>
                <c:pt idx="4">
                  <c:v>0.89108910891089166</c:v>
                </c:pt>
                <c:pt idx="5">
                  <c:v>0.91836734693877631</c:v>
                </c:pt>
                <c:pt idx="6">
                  <c:v>0.90000000000000036</c:v>
                </c:pt>
                <c:pt idx="7">
                  <c:v>1</c:v>
                </c:pt>
                <c:pt idx="8">
                  <c:v>1.1111111111111105</c:v>
                </c:pt>
                <c:pt idx="9">
                  <c:v>0.80000000000000071</c:v>
                </c:pt>
                <c:pt idx="10">
                  <c:v>0.70707070707070618</c:v>
                </c:pt>
                <c:pt idx="11">
                  <c:v>0.95238095238095177</c:v>
                </c:pt>
                <c:pt idx="12">
                  <c:v>1.0204081632653075</c:v>
                </c:pt>
                <c:pt idx="13">
                  <c:v>1</c:v>
                </c:pt>
                <c:pt idx="14">
                  <c:v>1.2371134020618542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7B-4DB5-8223-BC288CCDE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18928"/>
        <c:axId val="234534768"/>
      </c:scatterChart>
      <c:valAx>
        <c:axId val="2345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4534768"/>
        <c:crosses val="autoZero"/>
        <c:crossBetween val="midCat"/>
      </c:valAx>
      <c:valAx>
        <c:axId val="2345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v(cm/s)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45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all</a:t>
            </a:r>
            <a:r>
              <a:rPr lang="zh-TW" altLang="en-US"/>
              <a:t> </a:t>
            </a:r>
            <a:r>
              <a:rPr lang="en-US" altLang="zh-TW"/>
              <a:t>-</a:t>
            </a:r>
            <a:r>
              <a:rPr lang="zh-TW" altLang="en-US"/>
              <a:t> </a:t>
            </a:r>
            <a:r>
              <a:rPr lang="en-US" altLang="zh-TW"/>
              <a:t>a-t</a:t>
            </a:r>
            <a:r>
              <a:rPr lang="zh-TW" altLang="en-US"/>
              <a:t> </a:t>
            </a:r>
            <a:r>
              <a:rPr lang="en-US" altLang="zh-TW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'20251113-小瓶子水中上升實驗數據圖表整理'!$A$2</c:f>
              <c:strCache>
                <c:ptCount val="1"/>
                <c:pt idx="0">
                  <c:v>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30000000000000004"/>
            <c:dispRSqr val="1"/>
            <c:dispEq val="1"/>
            <c:trendlineLbl>
              <c:layout>
                <c:manualLayout>
                  <c:x val="0.22967218168962988"/>
                  <c:y val="6.8082191780821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'20251113-小瓶子水中上升實驗數據圖表整理'!$B$4:$B$8</c:f>
              <c:numCache>
                <c:formatCode>0.00_ </c:formatCode>
                <c:ptCount val="5"/>
                <c:pt idx="0">
                  <c:v>0.16</c:v>
                </c:pt>
                <c:pt idx="1">
                  <c:v>0.24</c:v>
                </c:pt>
                <c:pt idx="2">
                  <c:v>0.32</c:v>
                </c:pt>
                <c:pt idx="3">
                  <c:v>0.4</c:v>
                </c:pt>
                <c:pt idx="4">
                  <c:v>0.48</c:v>
                </c:pt>
              </c:numCache>
            </c:numRef>
          </c:xVal>
          <c:yVal>
            <c:numRef>
              <c:f>'20251113-小瓶子水中上升實驗數據圖表整理'!$F$4:$F$8</c:f>
              <c:numCache>
                <c:formatCode>0.00_ </c:formatCode>
                <c:ptCount val="5"/>
                <c:pt idx="0">
                  <c:v>1.3877787807814457E-13</c:v>
                </c:pt>
                <c:pt idx="1">
                  <c:v>70.312499999999929</c:v>
                </c:pt>
                <c:pt idx="2">
                  <c:v>312.49999999999983</c:v>
                </c:pt>
                <c:pt idx="3">
                  <c:v>-250</c:v>
                </c:pt>
                <c:pt idx="4">
                  <c:v>484.37500000000097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8E-444F-8631-1DDAB1ABE4D9}"/>
            </c:ext>
          </c:extLst>
        </c:ser>
        <c:ser>
          <c:idx val="3"/>
          <c:order val="1"/>
          <c:tx>
            <c:strRef>
              <c:f>'20251113-小瓶子水中上升實驗數據圖表整理'!$A$15</c:f>
              <c:strCache>
                <c:ptCount val="1"/>
                <c:pt idx="0">
                  <c:v>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.46"/>
            <c:dispRSqr val="1"/>
            <c:dispEq val="1"/>
            <c:trendlineLbl>
              <c:layout>
                <c:manualLayout>
                  <c:x val="0.22466584669420003"/>
                  <c:y val="5.84902743321467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'20251113-小瓶子水中上升實驗數據圖表整理'!$B$17:$B$22</c:f>
              <c:numCache>
                <c:formatCode>0.00_ </c:formatCode>
                <c:ptCount val="6"/>
                <c:pt idx="0">
                  <c:v>0.16</c:v>
                </c:pt>
                <c:pt idx="1">
                  <c:v>0.24</c:v>
                </c:pt>
                <c:pt idx="2">
                  <c:v>0.32</c:v>
                </c:pt>
                <c:pt idx="3">
                  <c:v>0.4</c:v>
                </c:pt>
                <c:pt idx="4">
                  <c:v>0.48</c:v>
                </c:pt>
                <c:pt idx="5">
                  <c:v>0.56000000000000005</c:v>
                </c:pt>
              </c:numCache>
            </c:numRef>
          </c:xVal>
          <c:yVal>
            <c:numRef>
              <c:f>'20251113-小瓶子水中上升實驗數據圖表整理'!$F$17:$F$22</c:f>
              <c:numCache>
                <c:formatCode>0.00_ </c:formatCode>
                <c:ptCount val="6"/>
                <c:pt idx="0">
                  <c:v>0</c:v>
                </c:pt>
                <c:pt idx="1">
                  <c:v>468.75000000000017</c:v>
                </c:pt>
                <c:pt idx="2">
                  <c:v>-390.625</c:v>
                </c:pt>
                <c:pt idx="3">
                  <c:v>359.37499999999994</c:v>
                </c:pt>
                <c:pt idx="4">
                  <c:v>-250.00000000000011</c:v>
                </c:pt>
                <c:pt idx="5">
                  <c:v>124.99999999999953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8E-444F-8631-1DDAB1ABE4D9}"/>
            </c:ext>
          </c:extLst>
        </c:ser>
        <c:ser>
          <c:idx val="1"/>
          <c:order val="2"/>
          <c:tx>
            <c:strRef>
              <c:f>'20251113-小瓶子水中上升實驗數據圖表整理'!$A$28</c:f>
              <c:strCache>
                <c:ptCount val="1"/>
                <c:pt idx="0">
                  <c:v>10ml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6.1499999999999995"/>
            <c:dispRSqr val="1"/>
            <c:dispEq val="1"/>
            <c:trendlineLbl>
              <c:layout>
                <c:manualLayout>
                  <c:x val="0.21773515470352983"/>
                  <c:y val="-4.6266853629597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'20251113-小瓶子水中上升實驗數據圖表整理'!$B$30:$B$35</c:f>
              <c:numCache>
                <c:formatCode>0.00_ </c:formatCode>
                <c:ptCount val="6"/>
                <c:pt idx="0">
                  <c:v>0.28999999999999998</c:v>
                </c:pt>
                <c:pt idx="1">
                  <c:v>0.35</c:v>
                </c:pt>
                <c:pt idx="2">
                  <c:v>0.49</c:v>
                </c:pt>
                <c:pt idx="3">
                  <c:v>0.79</c:v>
                </c:pt>
                <c:pt idx="4">
                  <c:v>0.99</c:v>
                </c:pt>
                <c:pt idx="5">
                  <c:v>1.29</c:v>
                </c:pt>
              </c:numCache>
            </c:numRef>
          </c:xVal>
          <c:yVal>
            <c:numRef>
              <c:f>'20251113-小瓶子水中上升實驗數據圖表整理'!$F$30:$F$35</c:f>
              <c:numCache>
                <c:formatCode>0.00_ </c:formatCode>
                <c:ptCount val="6"/>
                <c:pt idx="0">
                  <c:v>77.368421052631703</c:v>
                </c:pt>
                <c:pt idx="1">
                  <c:v>144.444444444444</c:v>
                </c:pt>
                <c:pt idx="2">
                  <c:v>-68.027210884353565</c:v>
                </c:pt>
                <c:pt idx="3">
                  <c:v>-16.031746031746064</c:v>
                </c:pt>
                <c:pt idx="4">
                  <c:v>63.333333333333385</c:v>
                </c:pt>
                <c:pt idx="5">
                  <c:v>-2.3684757858670004E-14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8E-444F-8631-1DDAB1ABE4D9}"/>
            </c:ext>
          </c:extLst>
        </c:ser>
        <c:ser>
          <c:idx val="0"/>
          <c:order val="3"/>
          <c:tx>
            <c:strRef>
              <c:f>'20251113-小瓶子水中上升實驗數據圖表整理'!$A$41</c:f>
              <c:strCache>
                <c:ptCount val="1"/>
                <c:pt idx="0">
                  <c:v>15ml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013123359580053E-2"/>
                  <c:y val="-6.7212015164771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'20251113-小瓶子水中上升實驗數據圖表整理'!$B$41:$B$56</c:f>
              <c:numCache>
                <c:formatCode>0.00_ </c:formatCode>
                <c:ptCount val="16"/>
                <c:pt idx="0">
                  <c:v>0</c:v>
                </c:pt>
                <c:pt idx="1">
                  <c:v>1.02</c:v>
                </c:pt>
                <c:pt idx="2">
                  <c:v>2.0299999999999998</c:v>
                </c:pt>
                <c:pt idx="3">
                  <c:v>3.02</c:v>
                </c:pt>
                <c:pt idx="4">
                  <c:v>4.03</c:v>
                </c:pt>
                <c:pt idx="5">
                  <c:v>5.04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9.01</c:v>
                </c:pt>
                <c:pt idx="10">
                  <c:v>10.01</c:v>
                </c:pt>
                <c:pt idx="11">
                  <c:v>11</c:v>
                </c:pt>
                <c:pt idx="12">
                  <c:v>12.05</c:v>
                </c:pt>
                <c:pt idx="13">
                  <c:v>13.03</c:v>
                </c:pt>
                <c:pt idx="14">
                  <c:v>14.03</c:v>
                </c:pt>
                <c:pt idx="15">
                  <c:v>15</c:v>
                </c:pt>
              </c:numCache>
            </c:numRef>
          </c:xVal>
          <c:yVal>
            <c:numRef>
              <c:f>'20251113-小瓶子水中上升實驗數據圖表整理'!$F$43:$F$56</c:f>
              <c:numCache>
                <c:formatCode>0.00_ </c:formatCode>
                <c:ptCount val="14"/>
                <c:pt idx="0">
                  <c:v>0.49399232293642908</c:v>
                </c:pt>
                <c:pt idx="1">
                  <c:v>0.22224444666688767</c:v>
                </c:pt>
                <c:pt idx="2">
                  <c:v>-0.41390277641625561</c:v>
                </c:pt>
                <c:pt idx="3">
                  <c:v>0.19605920988138562</c:v>
                </c:pt>
                <c:pt idx="4">
                  <c:v>2.7834936763147616E-2</c:v>
                </c:pt>
                <c:pt idx="5">
                  <c:v>-1.8367346938775952E-2</c:v>
                </c:pt>
                <c:pt idx="6">
                  <c:v>9.9999999999999645E-2</c:v>
                </c:pt>
                <c:pt idx="7">
                  <c:v>0.11223344556677825</c:v>
                </c:pt>
                <c:pt idx="8">
                  <c:v>-0.31111111111110978</c:v>
                </c:pt>
                <c:pt idx="9">
                  <c:v>-9.3867972655853033E-2</c:v>
                </c:pt>
                <c:pt idx="10">
                  <c:v>0.2336288050573766</c:v>
                </c:pt>
                <c:pt idx="11">
                  <c:v>6.9415521310567135E-2</c:v>
                </c:pt>
                <c:pt idx="12">
                  <c:v>-2.0408163265307477E-2</c:v>
                </c:pt>
                <c:pt idx="13">
                  <c:v>0.24444680624933401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8E-444F-8631-1DDAB1ABE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13424"/>
        <c:axId val="1847813904"/>
      </c:scatterChart>
      <c:valAx>
        <c:axId val="18478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904"/>
        <c:crosses val="autoZero"/>
        <c:crossBetween val="midCat"/>
      </c:valAx>
      <c:valAx>
        <c:axId val="1847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a(cm/s^2)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781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27</xdr:row>
      <xdr:rowOff>14287</xdr:rowOff>
    </xdr:from>
    <xdr:to>
      <xdr:col>12</xdr:col>
      <xdr:colOff>476250</xdr:colOff>
      <xdr:row>40</xdr:row>
      <xdr:rowOff>33337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91EA8D8-C6AF-8863-7D52-FB67DF407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27</xdr:row>
      <xdr:rowOff>14287</xdr:rowOff>
    </xdr:from>
    <xdr:to>
      <xdr:col>20</xdr:col>
      <xdr:colOff>457200</xdr:colOff>
      <xdr:row>40</xdr:row>
      <xdr:rowOff>33337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43EEE98-D477-290E-C857-434B433B3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27</xdr:row>
      <xdr:rowOff>14287</xdr:rowOff>
    </xdr:from>
    <xdr:to>
      <xdr:col>28</xdr:col>
      <xdr:colOff>466725</xdr:colOff>
      <xdr:row>40</xdr:row>
      <xdr:rowOff>33337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1F2961A1-CEBF-15B1-CC61-956D8C46D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35801</xdr:colOff>
      <xdr:row>40</xdr:row>
      <xdr:rowOff>7718</xdr:rowOff>
    </xdr:from>
    <xdr:to>
      <xdr:col>12</xdr:col>
      <xdr:colOff>493001</xdr:colOff>
      <xdr:row>53</xdr:row>
      <xdr:rowOff>26768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A1AB0637-A799-49E0-FF67-921187887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40</xdr:row>
      <xdr:rowOff>33337</xdr:rowOff>
    </xdr:from>
    <xdr:to>
      <xdr:col>20</xdr:col>
      <xdr:colOff>457200</xdr:colOff>
      <xdr:row>53</xdr:row>
      <xdr:rowOff>52387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0D304989-E0AB-9752-1B39-D5C632071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56</xdr:row>
      <xdr:rowOff>0</xdr:rowOff>
    </xdr:from>
    <xdr:to>
      <xdr:col>12</xdr:col>
      <xdr:colOff>457200</xdr:colOff>
      <xdr:row>69</xdr:row>
      <xdr:rowOff>19050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9EA02FB6-A9D9-4515-8E95-913580FAA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56</xdr:row>
      <xdr:rowOff>0</xdr:rowOff>
    </xdr:from>
    <xdr:to>
      <xdr:col>20</xdr:col>
      <xdr:colOff>457200</xdr:colOff>
      <xdr:row>69</xdr:row>
      <xdr:rowOff>19050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3271E4C5-DEF6-426A-988B-21793206A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40</xdr:row>
      <xdr:rowOff>0</xdr:rowOff>
    </xdr:from>
    <xdr:to>
      <xdr:col>28</xdr:col>
      <xdr:colOff>457200</xdr:colOff>
      <xdr:row>53</xdr:row>
      <xdr:rowOff>19050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FB772974-9CAA-4AD8-9A06-CF2A13A01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56</xdr:row>
      <xdr:rowOff>0</xdr:rowOff>
    </xdr:from>
    <xdr:to>
      <xdr:col>28</xdr:col>
      <xdr:colOff>457200</xdr:colOff>
      <xdr:row>69</xdr:row>
      <xdr:rowOff>19050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2D1E906A-0003-4B38-BE81-12DFFE3B6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12</xdr:col>
      <xdr:colOff>457200</xdr:colOff>
      <xdr:row>14</xdr:row>
      <xdr:rowOff>19050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EF17F8F-C0F0-4FD2-90FF-A9E270AB0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457200</xdr:colOff>
      <xdr:row>27</xdr:row>
      <xdr:rowOff>19050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ADC0F4E-7C71-4EC7-A071-67E266553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457200</xdr:colOff>
      <xdr:row>14</xdr:row>
      <xdr:rowOff>19050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AF147AD-EEE2-4911-B036-014737F06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0</xdr:colOff>
      <xdr:row>14</xdr:row>
      <xdr:rowOff>0</xdr:rowOff>
    </xdr:from>
    <xdr:to>
      <xdr:col>20</xdr:col>
      <xdr:colOff>457200</xdr:colOff>
      <xdr:row>27</xdr:row>
      <xdr:rowOff>19050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4369A32C-AB21-49A8-B136-80E830C0B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28</xdr:col>
      <xdr:colOff>457200</xdr:colOff>
      <xdr:row>14</xdr:row>
      <xdr:rowOff>19050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FF126B0D-8E6A-460E-B051-EC022AFA5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0</xdr:colOff>
      <xdr:row>14</xdr:row>
      <xdr:rowOff>0</xdr:rowOff>
    </xdr:from>
    <xdr:to>
      <xdr:col>28</xdr:col>
      <xdr:colOff>457200</xdr:colOff>
      <xdr:row>27</xdr:row>
      <xdr:rowOff>19050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E7BF697C-0D8C-4FDE-88D4-EC2ED965D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12</xdr:col>
      <xdr:colOff>457200</xdr:colOff>
      <xdr:row>82</xdr:row>
      <xdr:rowOff>19050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EA975F86-EC2A-4C82-997C-C5D54F263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0</xdr:colOff>
      <xdr:row>69</xdr:row>
      <xdr:rowOff>0</xdr:rowOff>
    </xdr:from>
    <xdr:to>
      <xdr:col>20</xdr:col>
      <xdr:colOff>457200</xdr:colOff>
      <xdr:row>82</xdr:row>
      <xdr:rowOff>19050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59F24D3B-203A-4762-B919-0F5DA3816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69</xdr:row>
      <xdr:rowOff>0</xdr:rowOff>
    </xdr:from>
    <xdr:to>
      <xdr:col>28</xdr:col>
      <xdr:colOff>457200</xdr:colOff>
      <xdr:row>82</xdr:row>
      <xdr:rowOff>19050</xdr:rowOff>
    </xdr:to>
    <xdr:graphicFrame macro="">
      <xdr:nvGraphicFramePr>
        <xdr:cNvPr id="24" name="圖表 23">
          <a:extLst>
            <a:ext uri="{FF2B5EF4-FFF2-40B4-BE49-F238E27FC236}">
              <a16:creationId xmlns:a16="http://schemas.microsoft.com/office/drawing/2014/main" id="{E9BEF614-001F-48F0-AD4E-7D3D35368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BD44-9BCA-4CB2-B704-C84E7F65BD8F}">
  <dimension ref="A1:AD5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 x14ac:dyDescent="0.25"/>
  <cols>
    <col min="1" max="1" width="9" style="1"/>
    <col min="2" max="2" width="9" style="2"/>
    <col min="3" max="4" width="9" style="3"/>
    <col min="5" max="6" width="9" style="2"/>
    <col min="7" max="16384" width="9" style="1"/>
  </cols>
  <sheetData>
    <row r="1" spans="1:30" x14ac:dyDescent="0.25">
      <c r="B1" s="1" t="s">
        <v>4</v>
      </c>
      <c r="C1" s="1" t="s">
        <v>5</v>
      </c>
      <c r="D1" s="1" t="s">
        <v>8</v>
      </c>
      <c r="E1" s="1" t="s">
        <v>6</v>
      </c>
      <c r="F1" s="1" t="s">
        <v>7</v>
      </c>
      <c r="G1" s="4" t="s">
        <v>9</v>
      </c>
      <c r="H1" s="4"/>
      <c r="I1" s="4"/>
      <c r="J1" s="4"/>
      <c r="K1" s="4"/>
      <c r="L1" s="4"/>
      <c r="M1" s="4"/>
      <c r="N1" s="4"/>
      <c r="O1" s="4" t="s">
        <v>10</v>
      </c>
      <c r="P1" s="4"/>
      <c r="Q1" s="4"/>
      <c r="R1" s="4"/>
      <c r="S1" s="4"/>
      <c r="T1" s="4"/>
      <c r="U1" s="4"/>
      <c r="V1" s="4"/>
      <c r="W1" s="4" t="s">
        <v>11</v>
      </c>
      <c r="X1" s="4"/>
      <c r="Y1" s="4"/>
      <c r="Z1" s="4"/>
      <c r="AA1" s="4"/>
      <c r="AB1" s="4"/>
      <c r="AC1" s="4"/>
      <c r="AD1" s="4"/>
    </row>
    <row r="2" spans="1:30" x14ac:dyDescent="0.25">
      <c r="A2" s="1" t="s">
        <v>0</v>
      </c>
      <c r="B2" s="2">
        <v>0</v>
      </c>
      <c r="C2" s="3">
        <v>5.2</v>
      </c>
      <c r="D2" s="3">
        <f>C2-C$2</f>
        <v>0</v>
      </c>
      <c r="E2" s="2" t="str">
        <f t="shared" ref="E2" si="0">IFERROR((D2-D1)/(B2-B1), "-")</f>
        <v>-</v>
      </c>
      <c r="F2" s="2" t="str">
        <f t="shared" ref="F2" si="1">IFERROR((E2-E1)/(B2-B1), "-")</f>
        <v>-</v>
      </c>
    </row>
    <row r="3" spans="1:30" x14ac:dyDescent="0.25">
      <c r="B3" s="2">
        <v>0.08</v>
      </c>
      <c r="C3" s="3">
        <v>5.3</v>
      </c>
      <c r="D3" s="3">
        <f t="shared" ref="D3:D8" si="2">C3-C$2</f>
        <v>9.9999999999999645E-2</v>
      </c>
      <c r="E3" s="2">
        <f t="shared" ref="E3:E8" si="3">IFERROR((D3-D2)/(B3-B2), "-")</f>
        <v>1.2499999999999956</v>
      </c>
      <c r="F3" s="2" t="str">
        <f t="shared" ref="F3:F8" si="4">IFERROR((E3-E2)/(B3-B2), "-")</f>
        <v>-</v>
      </c>
    </row>
    <row r="4" spans="1:30" x14ac:dyDescent="0.25">
      <c r="B4" s="2">
        <v>0.16</v>
      </c>
      <c r="C4" s="3">
        <v>5.4</v>
      </c>
      <c r="D4" s="3">
        <f t="shared" si="2"/>
        <v>0.20000000000000018</v>
      </c>
      <c r="E4" s="2">
        <f t="shared" si="3"/>
        <v>1.2500000000000067</v>
      </c>
      <c r="F4" s="2">
        <f t="shared" si="4"/>
        <v>1.3877787807814457E-13</v>
      </c>
    </row>
    <row r="5" spans="1:30" x14ac:dyDescent="0.25">
      <c r="B5" s="2">
        <v>0.24</v>
      </c>
      <c r="C5" s="3">
        <v>5.95</v>
      </c>
      <c r="D5" s="3">
        <f t="shared" si="2"/>
        <v>0.75</v>
      </c>
      <c r="E5" s="2">
        <f t="shared" si="3"/>
        <v>6.8749999999999991</v>
      </c>
      <c r="F5" s="2">
        <f t="shared" si="4"/>
        <v>70.312499999999929</v>
      </c>
    </row>
    <row r="6" spans="1:30" x14ac:dyDescent="0.25">
      <c r="B6" s="2">
        <v>0.32</v>
      </c>
      <c r="C6" s="3">
        <v>8.5</v>
      </c>
      <c r="D6" s="3">
        <f t="shared" si="2"/>
        <v>3.3</v>
      </c>
      <c r="E6" s="2">
        <f t="shared" si="3"/>
        <v>31.874999999999993</v>
      </c>
      <c r="F6" s="2">
        <f t="shared" si="4"/>
        <v>312.49999999999983</v>
      </c>
    </row>
    <row r="7" spans="1:30" x14ac:dyDescent="0.25">
      <c r="B7" s="2">
        <v>0.4</v>
      </c>
      <c r="C7" s="3">
        <v>9.4499999999999993</v>
      </c>
      <c r="D7" s="3">
        <f t="shared" si="2"/>
        <v>4.2499999999999991</v>
      </c>
      <c r="E7" s="2">
        <f t="shared" si="3"/>
        <v>11.874999999999989</v>
      </c>
      <c r="F7" s="2">
        <f t="shared" si="4"/>
        <v>-250</v>
      </c>
    </row>
    <row r="8" spans="1:30" x14ac:dyDescent="0.25">
      <c r="B8" s="2">
        <v>0.48</v>
      </c>
      <c r="C8" s="3">
        <v>13.5</v>
      </c>
      <c r="D8" s="3">
        <f t="shared" si="2"/>
        <v>8.3000000000000007</v>
      </c>
      <c r="E8" s="2">
        <f t="shared" si="3"/>
        <v>50.625000000000043</v>
      </c>
      <c r="F8" s="2">
        <f t="shared" si="4"/>
        <v>484.37500000000097</v>
      </c>
    </row>
    <row r="15" spans="1:30" x14ac:dyDescent="0.25">
      <c r="A15" s="1" t="s">
        <v>2</v>
      </c>
      <c r="B15" s="2">
        <v>0</v>
      </c>
      <c r="C15" s="3">
        <v>5.5</v>
      </c>
      <c r="D15" s="3">
        <f>C15-C$15</f>
        <v>0</v>
      </c>
      <c r="E15" s="2" t="str">
        <f>IFERROR((D15-D14)/(B15-B14), "-")</f>
        <v>-</v>
      </c>
      <c r="F15" s="2" t="str">
        <f>IFERROR((E15-E14)/(B15-B14), "-")</f>
        <v>-</v>
      </c>
    </row>
    <row r="16" spans="1:30" x14ac:dyDescent="0.25">
      <c r="B16" s="2">
        <v>0.08</v>
      </c>
      <c r="C16" s="3">
        <v>6</v>
      </c>
      <c r="D16" s="3">
        <f t="shared" ref="D16:D22" si="5">C16-C$15</f>
        <v>0.5</v>
      </c>
      <c r="E16" s="2">
        <f t="shared" ref="E16:E22" si="6">IFERROR((D16-D15)/(B16-B15), "-")</f>
        <v>6.25</v>
      </c>
      <c r="F16" s="2" t="str">
        <f t="shared" ref="F16:F22" si="7">IFERROR((E16-E15)/(B16-B15), "-")</f>
        <v>-</v>
      </c>
    </row>
    <row r="17" spans="1:6" x14ac:dyDescent="0.25">
      <c r="B17" s="2">
        <v>0.16</v>
      </c>
      <c r="C17" s="3">
        <v>6.5</v>
      </c>
      <c r="D17" s="3">
        <f t="shared" si="5"/>
        <v>1</v>
      </c>
      <c r="E17" s="2">
        <f t="shared" si="6"/>
        <v>6.25</v>
      </c>
      <c r="F17" s="2">
        <f t="shared" si="7"/>
        <v>0</v>
      </c>
    </row>
    <row r="18" spans="1:6" x14ac:dyDescent="0.25">
      <c r="B18" s="2">
        <v>0.24</v>
      </c>
      <c r="C18" s="3">
        <v>10</v>
      </c>
      <c r="D18" s="3">
        <f t="shared" si="5"/>
        <v>4.5</v>
      </c>
      <c r="E18" s="2">
        <f t="shared" si="6"/>
        <v>43.750000000000007</v>
      </c>
      <c r="F18" s="2">
        <f t="shared" si="7"/>
        <v>468.75000000000017</v>
      </c>
    </row>
    <row r="19" spans="1:6" x14ac:dyDescent="0.25">
      <c r="B19" s="2">
        <v>0.32</v>
      </c>
      <c r="C19" s="3">
        <v>11</v>
      </c>
      <c r="D19" s="3">
        <f t="shared" si="5"/>
        <v>5.5</v>
      </c>
      <c r="E19" s="2">
        <f t="shared" si="6"/>
        <v>12.499999999999998</v>
      </c>
      <c r="F19" s="2">
        <f t="shared" si="7"/>
        <v>-390.625</v>
      </c>
    </row>
    <row r="20" spans="1:6" x14ac:dyDescent="0.25">
      <c r="B20" s="2">
        <v>0.4</v>
      </c>
      <c r="C20" s="3">
        <v>14.3</v>
      </c>
      <c r="D20" s="3">
        <f t="shared" si="5"/>
        <v>8.8000000000000007</v>
      </c>
      <c r="E20" s="2">
        <f t="shared" si="6"/>
        <v>41.25</v>
      </c>
      <c r="F20" s="2">
        <f t="shared" si="7"/>
        <v>359.37499999999994</v>
      </c>
    </row>
    <row r="21" spans="1:6" x14ac:dyDescent="0.25">
      <c r="B21" s="2">
        <v>0.48</v>
      </c>
      <c r="C21" s="3">
        <v>16</v>
      </c>
      <c r="D21" s="3">
        <f t="shared" si="5"/>
        <v>10.5</v>
      </c>
      <c r="E21" s="2">
        <f t="shared" si="6"/>
        <v>21.25</v>
      </c>
      <c r="F21" s="2">
        <f t="shared" si="7"/>
        <v>-250.00000000000011</v>
      </c>
    </row>
    <row r="22" spans="1:6" x14ac:dyDescent="0.25">
      <c r="B22" s="2">
        <v>0.56000000000000005</v>
      </c>
      <c r="C22" s="3">
        <v>18.5</v>
      </c>
      <c r="D22" s="3">
        <f t="shared" si="5"/>
        <v>13</v>
      </c>
      <c r="E22" s="2">
        <f t="shared" si="6"/>
        <v>31.249999999999972</v>
      </c>
      <c r="F22" s="2">
        <f t="shared" si="7"/>
        <v>124.99999999999953</v>
      </c>
    </row>
    <row r="28" spans="1:6" x14ac:dyDescent="0.25">
      <c r="A28" s="1" t="s">
        <v>1</v>
      </c>
      <c r="B28" s="2">
        <v>0</v>
      </c>
      <c r="C28" s="3">
        <v>6</v>
      </c>
      <c r="D28" s="3">
        <f>C28-C$28</f>
        <v>0</v>
      </c>
      <c r="E28" s="2" t="str">
        <f t="shared" ref="E28" si="8">IFERROR((D28-D27)/(B28-B27), "-")</f>
        <v>-</v>
      </c>
      <c r="F28" s="2" t="str">
        <f t="shared" ref="F28" si="9">IFERROR((E28-E27)/(B28-B27), "-")</f>
        <v>-</v>
      </c>
    </row>
    <row r="29" spans="1:6" x14ac:dyDescent="0.25">
      <c r="B29" s="2">
        <v>0.19</v>
      </c>
      <c r="C29" s="3">
        <v>7</v>
      </c>
      <c r="D29" s="3">
        <f>C29-C$28</f>
        <v>1</v>
      </c>
      <c r="E29" s="2">
        <f t="shared" ref="E29:E35" si="10">IFERROR((D29-D28)/(B29-B28), "-")</f>
        <v>5.2631578947368425</v>
      </c>
      <c r="F29" s="2" t="str">
        <f t="shared" ref="F29:F35" si="11">IFERROR((E29-E28)/(B29-B28), "-")</f>
        <v>-</v>
      </c>
    </row>
    <row r="30" spans="1:6" x14ac:dyDescent="0.25">
      <c r="B30" s="2">
        <v>0.28999999999999998</v>
      </c>
      <c r="C30" s="3">
        <v>8.3000000000000007</v>
      </c>
      <c r="D30" s="3">
        <f t="shared" ref="D30:D35" si="12">C30-C$28</f>
        <v>2.3000000000000007</v>
      </c>
      <c r="E30" s="2">
        <f t="shared" si="10"/>
        <v>13.000000000000011</v>
      </c>
      <c r="F30" s="2">
        <f t="shared" si="11"/>
        <v>77.368421052631703</v>
      </c>
    </row>
    <row r="31" spans="1:6" x14ac:dyDescent="0.25">
      <c r="B31" s="2">
        <v>0.35</v>
      </c>
      <c r="C31" s="3">
        <v>9.6</v>
      </c>
      <c r="D31" s="3">
        <f t="shared" si="12"/>
        <v>3.5999999999999996</v>
      </c>
      <c r="E31" s="2">
        <f t="shared" si="10"/>
        <v>21.66666666666665</v>
      </c>
      <c r="F31" s="2">
        <f t="shared" si="11"/>
        <v>144.444444444444</v>
      </c>
    </row>
    <row r="32" spans="1:6" x14ac:dyDescent="0.25">
      <c r="B32" s="2">
        <v>0.49</v>
      </c>
      <c r="C32" s="3">
        <v>11.3</v>
      </c>
      <c r="D32" s="3">
        <f t="shared" si="12"/>
        <v>5.3000000000000007</v>
      </c>
      <c r="E32" s="2">
        <f t="shared" si="10"/>
        <v>12.142857142857149</v>
      </c>
      <c r="F32" s="2">
        <f t="shared" si="11"/>
        <v>-68.027210884353565</v>
      </c>
    </row>
    <row r="33" spans="1:6" x14ac:dyDescent="0.25">
      <c r="B33" s="2">
        <v>0.79</v>
      </c>
      <c r="C33" s="3">
        <v>13.5</v>
      </c>
      <c r="D33" s="3">
        <f t="shared" si="12"/>
        <v>7.5</v>
      </c>
      <c r="E33" s="2">
        <f t="shared" si="10"/>
        <v>7.3333333333333295</v>
      </c>
      <c r="F33" s="2">
        <f t="shared" si="11"/>
        <v>-16.031746031746064</v>
      </c>
    </row>
    <row r="34" spans="1:6" x14ac:dyDescent="0.25">
      <c r="B34" s="2">
        <v>0.99</v>
      </c>
      <c r="C34" s="3">
        <v>17.5</v>
      </c>
      <c r="D34" s="3">
        <f t="shared" si="12"/>
        <v>11.5</v>
      </c>
      <c r="E34" s="2">
        <f t="shared" si="10"/>
        <v>20.000000000000004</v>
      </c>
      <c r="F34" s="2">
        <f t="shared" si="11"/>
        <v>63.333333333333385</v>
      </c>
    </row>
    <row r="35" spans="1:6" x14ac:dyDescent="0.25">
      <c r="B35" s="2">
        <v>1.29</v>
      </c>
      <c r="C35" s="3">
        <v>23.5</v>
      </c>
      <c r="D35" s="3">
        <f t="shared" si="12"/>
        <v>17.5</v>
      </c>
      <c r="E35" s="2">
        <f t="shared" si="10"/>
        <v>19.999999999999996</v>
      </c>
      <c r="F35" s="2">
        <f t="shared" si="11"/>
        <v>-2.3684757858670004E-14</v>
      </c>
    </row>
    <row r="41" spans="1:6" x14ac:dyDescent="0.25">
      <c r="A41" s="1" t="s">
        <v>3</v>
      </c>
      <c r="B41" s="2">
        <v>0</v>
      </c>
      <c r="C41" s="3">
        <v>6.6</v>
      </c>
      <c r="D41" s="3">
        <f t="shared" ref="D41" si="13">C41-C$41</f>
        <v>0</v>
      </c>
      <c r="E41" s="2" t="str">
        <f t="shared" ref="E41" si="14">IFERROR((D41-D40)/(B41-B40), "-")</f>
        <v>-</v>
      </c>
      <c r="F41" s="2" t="str">
        <f t="shared" ref="F41" si="15">IFERROR((E41-E40)/(B41-B40), "-")</f>
        <v>-</v>
      </c>
    </row>
    <row r="42" spans="1:6" x14ac:dyDescent="0.25">
      <c r="B42" s="2">
        <v>1.02</v>
      </c>
      <c r="C42" s="3">
        <v>7</v>
      </c>
      <c r="D42" s="3">
        <f t="shared" ref="D42:D56" si="16">C42-C$41</f>
        <v>0.40000000000000036</v>
      </c>
      <c r="E42" s="2">
        <f t="shared" ref="E42:E56" si="17">IFERROR((D42-D41)/(B42-B41), "-")</f>
        <v>0.39215686274509837</v>
      </c>
      <c r="F42" s="2" t="str">
        <f t="shared" ref="F42:F56" si="18">IFERROR((E42-E41)/(B42-B41), "-")</f>
        <v>-</v>
      </c>
    </row>
    <row r="43" spans="1:6" x14ac:dyDescent="0.25">
      <c r="B43" s="2">
        <v>2.0299999999999998</v>
      </c>
      <c r="C43" s="3">
        <v>7.9</v>
      </c>
      <c r="D43" s="3">
        <f t="shared" si="16"/>
        <v>1.3000000000000007</v>
      </c>
      <c r="E43" s="2">
        <f t="shared" si="17"/>
        <v>0.89108910891089166</v>
      </c>
      <c r="F43" s="2">
        <f t="shared" si="18"/>
        <v>0.49399232293642908</v>
      </c>
    </row>
    <row r="44" spans="1:6" x14ac:dyDescent="0.25">
      <c r="B44" s="2">
        <v>3.02</v>
      </c>
      <c r="C44" s="3">
        <v>9</v>
      </c>
      <c r="D44" s="3">
        <f t="shared" si="16"/>
        <v>2.4000000000000004</v>
      </c>
      <c r="E44" s="2">
        <f t="shared" si="17"/>
        <v>1.1111111111111105</v>
      </c>
      <c r="F44" s="2">
        <f t="shared" si="18"/>
        <v>0.22224444666688767</v>
      </c>
    </row>
    <row r="45" spans="1:6" x14ac:dyDescent="0.25">
      <c r="B45" s="2">
        <v>4.03</v>
      </c>
      <c r="C45" s="3">
        <v>9.6999999999999993</v>
      </c>
      <c r="D45" s="3">
        <f t="shared" si="16"/>
        <v>3.0999999999999996</v>
      </c>
      <c r="E45" s="2">
        <f t="shared" si="17"/>
        <v>0.69306930693069224</v>
      </c>
      <c r="F45" s="2">
        <f t="shared" si="18"/>
        <v>-0.41390277641625561</v>
      </c>
    </row>
    <row r="46" spans="1:6" x14ac:dyDescent="0.25">
      <c r="B46" s="2">
        <v>5.04</v>
      </c>
      <c r="C46" s="3">
        <v>10.6</v>
      </c>
      <c r="D46" s="3">
        <f t="shared" si="16"/>
        <v>4</v>
      </c>
      <c r="E46" s="2">
        <f t="shared" si="17"/>
        <v>0.89108910891089166</v>
      </c>
      <c r="F46" s="2">
        <f t="shared" si="18"/>
        <v>0.19605920988138562</v>
      </c>
    </row>
    <row r="47" spans="1:6" x14ac:dyDescent="0.25">
      <c r="B47" s="2">
        <v>6.02</v>
      </c>
      <c r="C47" s="3">
        <v>11.5</v>
      </c>
      <c r="D47" s="3">
        <f t="shared" si="16"/>
        <v>4.9000000000000004</v>
      </c>
      <c r="E47" s="2">
        <f t="shared" si="17"/>
        <v>0.91836734693877631</v>
      </c>
      <c r="F47" s="2">
        <f t="shared" si="18"/>
        <v>2.7834936763147616E-2</v>
      </c>
    </row>
    <row r="48" spans="1:6" x14ac:dyDescent="0.25">
      <c r="B48" s="2">
        <v>7.02</v>
      </c>
      <c r="C48" s="3">
        <v>12.4</v>
      </c>
      <c r="D48" s="3">
        <f t="shared" si="16"/>
        <v>5.8000000000000007</v>
      </c>
      <c r="E48" s="2">
        <f t="shared" si="17"/>
        <v>0.90000000000000036</v>
      </c>
      <c r="F48" s="2">
        <f t="shared" si="18"/>
        <v>-1.8367346938775952E-2</v>
      </c>
    </row>
    <row r="49" spans="1:6" x14ac:dyDescent="0.25">
      <c r="B49" s="2">
        <v>8.02</v>
      </c>
      <c r="C49" s="3">
        <v>13.4</v>
      </c>
      <c r="D49" s="3">
        <f t="shared" si="16"/>
        <v>6.8000000000000007</v>
      </c>
      <c r="E49" s="2">
        <f t="shared" si="17"/>
        <v>1</v>
      </c>
      <c r="F49" s="2">
        <f t="shared" si="18"/>
        <v>9.9999999999999645E-2</v>
      </c>
    </row>
    <row r="50" spans="1:6" x14ac:dyDescent="0.25">
      <c r="B50" s="2">
        <v>9.01</v>
      </c>
      <c r="C50" s="3">
        <v>14.5</v>
      </c>
      <c r="D50" s="3">
        <f t="shared" si="16"/>
        <v>7.9</v>
      </c>
      <c r="E50" s="2">
        <f t="shared" si="17"/>
        <v>1.1111111111111105</v>
      </c>
      <c r="F50" s="2">
        <f t="shared" si="18"/>
        <v>0.11223344556677825</v>
      </c>
    </row>
    <row r="51" spans="1:6" x14ac:dyDescent="0.25">
      <c r="B51" s="2">
        <v>10.01</v>
      </c>
      <c r="C51" s="3">
        <v>15.3</v>
      </c>
      <c r="D51" s="3">
        <f t="shared" si="16"/>
        <v>8.7000000000000011</v>
      </c>
      <c r="E51" s="2">
        <f t="shared" si="17"/>
        <v>0.80000000000000071</v>
      </c>
      <c r="F51" s="2">
        <f t="shared" si="18"/>
        <v>-0.31111111111110978</v>
      </c>
    </row>
    <row r="52" spans="1:6" x14ac:dyDescent="0.25">
      <c r="B52" s="2">
        <v>11</v>
      </c>
      <c r="C52" s="3">
        <v>16</v>
      </c>
      <c r="D52" s="3">
        <f t="shared" si="16"/>
        <v>9.4</v>
      </c>
      <c r="E52" s="2">
        <f t="shared" si="17"/>
        <v>0.70707070707070618</v>
      </c>
      <c r="F52" s="2">
        <f t="shared" si="18"/>
        <v>-9.3867972655853033E-2</v>
      </c>
    </row>
    <row r="53" spans="1:6" x14ac:dyDescent="0.25">
      <c r="B53" s="2">
        <v>12.05</v>
      </c>
      <c r="C53" s="3">
        <v>17</v>
      </c>
      <c r="D53" s="3">
        <f t="shared" si="16"/>
        <v>10.4</v>
      </c>
      <c r="E53" s="2">
        <f t="shared" si="17"/>
        <v>0.95238095238095177</v>
      </c>
      <c r="F53" s="2">
        <f t="shared" si="18"/>
        <v>0.2336288050573766</v>
      </c>
    </row>
    <row r="54" spans="1:6" x14ac:dyDescent="0.25">
      <c r="B54" s="2">
        <v>13.03</v>
      </c>
      <c r="C54" s="3">
        <v>18</v>
      </c>
      <c r="D54" s="3">
        <f t="shared" si="16"/>
        <v>11.4</v>
      </c>
      <c r="E54" s="2">
        <f t="shared" si="17"/>
        <v>1.0204081632653075</v>
      </c>
      <c r="F54" s="2">
        <f t="shared" si="18"/>
        <v>6.9415521310567135E-2</v>
      </c>
    </row>
    <row r="55" spans="1:6" x14ac:dyDescent="0.25">
      <c r="B55" s="2">
        <v>14.03</v>
      </c>
      <c r="C55" s="3">
        <v>19</v>
      </c>
      <c r="D55" s="3">
        <f t="shared" si="16"/>
        <v>12.4</v>
      </c>
      <c r="E55" s="2">
        <f t="shared" si="17"/>
        <v>1</v>
      </c>
      <c r="F55" s="2">
        <f t="shared" si="18"/>
        <v>-2.0408163265307477E-2</v>
      </c>
    </row>
    <row r="56" spans="1:6" x14ac:dyDescent="0.25">
      <c r="B56" s="2">
        <v>15</v>
      </c>
      <c r="C56" s="3">
        <v>20.2</v>
      </c>
      <c r="D56" s="3">
        <f t="shared" si="16"/>
        <v>13.6</v>
      </c>
      <c r="E56" s="2">
        <f t="shared" si="17"/>
        <v>1.2371134020618542</v>
      </c>
      <c r="F56" s="2">
        <f t="shared" si="18"/>
        <v>0.24444680624933401</v>
      </c>
    </row>
    <row r="57" spans="1:6" x14ac:dyDescent="0.25">
      <c r="A57" s="1" t="s">
        <v>12</v>
      </c>
    </row>
  </sheetData>
  <mergeCells count="3">
    <mergeCell ref="G1:N1"/>
    <mergeCell ref="O1:V1"/>
    <mergeCell ref="W1:A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20251113-小瓶子水中上升實驗數據圖表整理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鍾定栩</dc:creator>
  <cp:lastModifiedBy>user</cp:lastModifiedBy>
  <dcterms:created xsi:type="dcterms:W3CDTF">2025-11-13T21:41:49Z</dcterms:created>
  <dcterms:modified xsi:type="dcterms:W3CDTF">2025-11-17T07:11:03Z</dcterms:modified>
</cp:coreProperties>
</file>